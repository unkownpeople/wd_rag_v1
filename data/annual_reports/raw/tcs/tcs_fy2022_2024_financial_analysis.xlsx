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834cdd01fedf89e9/Documents/"/>
    </mc:Choice>
  </mc:AlternateContent>
  <xr:revisionPtr revIDLastSave="45" documentId="8_{AC781BF7-20C5-499C-B115-282420F65458}" xr6:coauthVersionLast="47" xr6:coauthVersionMax="47" xr10:uidLastSave="{E2D11CDF-D86E-441C-AC69-918964302FCE}"/>
  <bookViews>
    <workbookView xWindow="-120" yWindow="-120" windowWidth="20730" windowHeight="11040" activeTab="5" xr2:uid="{00000000-000D-0000-FFFF-FFFF00000000}"/>
  </bookViews>
  <sheets>
    <sheet name="Cover" sheetId="1" r:id="rId1"/>
    <sheet name="P&amp;L Analysis" sheetId="2" r:id="rId2"/>
    <sheet name="Key Ratios" sheetId="3" r:id="rId3"/>
    <sheet name="Observations" sheetId="4" r:id="rId4"/>
    <sheet name="Charts &amp; Trends" sheetId="5" r:id="rId5"/>
    <sheet name="Cashflow sheet"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6" l="1"/>
  <c r="F10" i="6"/>
  <c r="D10" i="6"/>
  <c r="G28" i="2"/>
  <c r="F28" i="2"/>
  <c r="G27" i="2"/>
  <c r="F27" i="2"/>
  <c r="G24" i="2"/>
  <c r="F24" i="2"/>
  <c r="G23" i="2"/>
  <c r="F23" i="2"/>
  <c r="G22" i="2"/>
  <c r="F22" i="2"/>
  <c r="G21" i="2"/>
  <c r="F21" i="2"/>
  <c r="G18" i="2"/>
  <c r="F18" i="2"/>
  <c r="G17" i="2"/>
  <c r="F17" i="2"/>
  <c r="G16" i="2"/>
  <c r="F16" i="2"/>
  <c r="G15" i="2"/>
  <c r="F15" i="2"/>
  <c r="G14" i="2"/>
  <c r="F14" i="2"/>
  <c r="G13" i="2"/>
  <c r="F13" i="2"/>
  <c r="G10" i="2"/>
  <c r="F10" i="2"/>
  <c r="G9" i="2"/>
  <c r="F9" i="2"/>
  <c r="G8" i="2"/>
  <c r="F8" i="2"/>
</calcChain>
</file>

<file path=xl/sharedStrings.xml><?xml version="1.0" encoding="utf-8"?>
<sst xmlns="http://schemas.openxmlformats.org/spreadsheetml/2006/main" count="111" uniqueCount="97">
  <si>
    <t>TATA CONSULTANCY SERVICES LIMITED</t>
  </si>
  <si>
    <t>Financial Statement Analysis  |  FY2022 – FY2024</t>
  </si>
  <si>
    <t>Equity Research &amp; Performance Review</t>
  </si>
  <si>
    <t>PREPARED BY</t>
  </si>
  <si>
    <t>Neal Austin Alfred</t>
  </si>
  <si>
    <t>INSTITUTION</t>
  </si>
  <si>
    <t>Loyola College, Chennai</t>
  </si>
  <si>
    <t>DATA SOURCE</t>
  </si>
  <si>
    <t>BSE / Screener.in / TCS Annual Reports</t>
  </si>
  <si>
    <t>CURRENCY</t>
  </si>
  <si>
    <t>Indian Rupees (₹ Crores)</t>
  </si>
  <si>
    <t>PERIOD</t>
  </si>
  <si>
    <t>FY2022, FY2023, FY2024</t>
  </si>
  <si>
    <t>REPORT DATE</t>
  </si>
  <si>
    <t>March 2026</t>
  </si>
  <si>
    <t>⚠️  This report is prepared for educational and portfolio purposes only. All data sourced from publicly available annual reports.</t>
  </si>
  <si>
    <t>📊 Profit &amp; Loss Statement Analysis  |  TCS  |  FY2022–FY2024</t>
  </si>
  <si>
    <t>All figures in ₹ Crores  |  Source: TCS Annual Reports / Screener.in</t>
  </si>
  <si>
    <t>Particulars</t>
  </si>
  <si>
    <t>FY2022</t>
  </si>
  <si>
    <t>FY2023</t>
  </si>
  <si>
    <t>FY2024</t>
  </si>
  <si>
    <t>YoY Growth FY23</t>
  </si>
  <si>
    <t>YoY Growth FY24</t>
  </si>
  <si>
    <t>INCOME</t>
  </si>
  <si>
    <t>Revenue from Operations</t>
  </si>
  <si>
    <t>Other Income</t>
  </si>
  <si>
    <t>Total Income</t>
  </si>
  <si>
    <t>EXPENSES</t>
  </si>
  <si>
    <t>Employee Benefit Expenses</t>
  </si>
  <si>
    <t>Sub-contracting Expenses</t>
  </si>
  <si>
    <t>Other Operating Expenses</t>
  </si>
  <si>
    <t>Depreciation &amp; Amortisation</t>
  </si>
  <si>
    <t>Finance Costs</t>
  </si>
  <si>
    <t>Total Expenses</t>
  </si>
  <si>
    <t>PROFITABILITY</t>
  </si>
  <si>
    <t>Operating Profit (EBIT)</t>
  </si>
  <si>
    <t>Profit Before Tax (PBT)</t>
  </si>
  <si>
    <t>Tax Expense</t>
  </si>
  <si>
    <t>Net Profit (PAT)</t>
  </si>
  <si>
    <t>PER SHARE DATA</t>
  </si>
  <si>
    <t>Earnings Per Share (₹)</t>
  </si>
  <si>
    <t>Dividend Per Share (₹)</t>
  </si>
  <si>
    <t>📐 Key Financial Ratios  |  TCS  |  FY2022–FY2024</t>
  </si>
  <si>
    <t>Higher margins = better profitability  |  Track trends year-over-year for meaningful insights</t>
  </si>
  <si>
    <t>Ratio / Metric</t>
  </si>
  <si>
    <t>Interpretation</t>
  </si>
  <si>
    <t>PROFITABILITY RATIOS</t>
  </si>
  <si>
    <t>Net Profit Margin (%)</t>
  </si>
  <si>
    <t>Stable ~19% — strong &amp; consistent profitability</t>
  </si>
  <si>
    <t>Operating Profit Margin (%)</t>
  </si>
  <si>
    <t>Healthy operating efficiency above 18%</t>
  </si>
  <si>
    <t>Return on Equity (%)</t>
  </si>
  <si>
    <t>Excellent — every ₹1 of equity generates ~₹0.49 profit</t>
  </si>
  <si>
    <t>GROWTH RATIOS</t>
  </si>
  <si>
    <t>Revenue Growth (%)</t>
  </si>
  <si>
    <t>Strong FY23 growth; FY24 slowdown due to global IT demand</t>
  </si>
  <si>
    <t>Net Profit Growth (%)</t>
  </si>
  <si>
    <t>EPS Growth (%)</t>
  </si>
  <si>
    <t>EFFICIENCY RATIOS</t>
  </si>
  <si>
    <t>Revenue per Employee (₹L)</t>
  </si>
  <si>
    <t>Employee Cost % of Revenue</t>
  </si>
  <si>
    <t>DIVIDEND &amp; RETURNS</t>
  </si>
  <si>
    <t>Dividend Payout Ratio (%)</t>
  </si>
  <si>
    <t>TCS returns ~44% of profits to shareholders</t>
  </si>
  <si>
    <t>📝 Analyst Observations &amp; Key Takeaways  |  TCS FY2022–FY2024</t>
  </si>
  <si>
    <t>Prepared by Neal Austin Alfred  |  B.Com (Corporate Secretaryship), Loyola College Chennai  |  March 2026</t>
  </si>
  <si>
    <t>1. CONSISTENT REVENUE GROWTH WITH FY24 MODERATION</t>
  </si>
  <si>
    <t>2. STABLE AND INDUSTRY-LEADING PROFIT MARGINS</t>
  </si>
  <si>
    <t>3. STRONG RETURN ON EQUITY REFLECTS CAPITAL EFFICIENCY</t>
  </si>
  <si>
    <t>4. GROWING DIVIDEND SIGNALS STRONG CASH GENERATION</t>
  </si>
  <si>
    <t>5. OUTLOOK — CAUTIOUS OPTIMISM FOR FY2025</t>
  </si>
  <si>
    <t>⚠️  Disclaimer: This analysis is prepared for educational and portfolio demonstration purposes only. Data sourced from TCS Annual Reports and Screener.in.</t>
  </si>
  <si>
    <t>📈 Visual Trend Analysis  |  TCS  |  FY2022–FY2024</t>
  </si>
  <si>
    <t>Revenue (₹ Cr)</t>
  </si>
  <si>
    <t>Net Profit (₹ Cr)</t>
  </si>
  <si>
    <t>Operating Profit</t>
  </si>
  <si>
    <t>Employee Costs</t>
  </si>
  <si>
    <t>Net Profit Margin</t>
  </si>
  <si>
    <t>Operating Margin</t>
  </si>
  <si>
    <t xml:space="preserve">Cash from operations </t>
  </si>
  <si>
    <t>Capital Expenditure</t>
  </si>
  <si>
    <t>Free Flow cash</t>
  </si>
  <si>
    <t>FCF margin %</t>
  </si>
  <si>
    <t xml:space="preserve">  CASHFLOW STATEMENT ANALYSIS</t>
  </si>
  <si>
    <t>Consistent growth but decelerating — in this (watch closely)</t>
  </si>
  <si>
    <t>Steady EPS growth reflects shareholder value creation (very trusting)</t>
  </si>
  <si>
    <t>Improving, each employee generates more revenue (helps the company)</t>
  </si>
  <si>
    <t>Stable.  employee costs well controlled as revenue grows</t>
  </si>
  <si>
    <t>Consistently growing dividend --signals financial health</t>
  </si>
  <si>
    <t>a</t>
  </si>
  <si>
    <t>TCS delivered a strong 17.6% revenue growth in FY2023, increasing from ₹1,91,754 crores to ₹2,25,458 crores. However, in FY2024, growth slowed to 6.8%, with revenue reaching ₹2,40,893 crores.This slowdown was largely driven by reduced IT spending from global clients, especially in the Banking, Financial Services &amp; Insurance (BFSI) sector, as businesses navigated macroeconomic uncertainty and rising interest rates in the US and Europe.
Despite these headwinds, TCS still managed to maintain positive growth, highlighting the strength and resilience of its diversified client base.</t>
  </si>
  <si>
    <t>Tata Consultancy Services consistently maintained a net profit margin of around 19% over the three-year period — a level widely regarded as best-in-class within the Indian IT industry. Its operating profit margin also stayed above 18%, reflecting strong cost discipline and operational efficiency. Despite employee benefit expenses being the largest cost component (around 55% of revenue), the company managed to keep this ratio stable even as its workforce expanded. This indicates that TCS has been able to effectively utilize its talent pool, driving productivity gains while scaling operations.</t>
  </si>
  <si>
    <t>Tata Consultancy Services improved its ROE from 46.2% to 49.1%, meaning it earns about ₹0.49 profit for every ₹1 invested by shareholders. This is higher than most companies, showing strong efficiency, smart use of capital, and good management.</t>
  </si>
  <si>
    <t>Tata Consultancy Services increased its dividend per share from ₹43 to ₹56 in three years (about 30% growth). It is also paying a slightly higher share of its profits to investors, backed by strong cash generation. This shows good financial health and a shareholder-friendly approach.</t>
  </si>
  <si>
    <t>Tata Consultancy Services saw slower growth in FY2024, but its core business remains strong, supported by steady deal wins and expected demand from AI and cloud services. However, risks such as weak spending from banking clients, a stronger rupee impacting earnings, and employee attrition need to be monitored. Overall, TCS remains a stable, dividend-paying company with solid long-term growth potential.</t>
  </si>
  <si>
    <t>PREPARED BY NEAL  AAUSTIN | MARCH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</si>
</sst>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numFmt numFmtId="165" formatCode="0.0%"/>
    <numFmt numFmtId="166" formatCode="\₹#,##0.00"/>
    <numFmt numFmtId="167" formatCode="0.0&quot;%&quot;"/>
  </numFmts>
  <fonts count="32" x14ac:knownFonts="1">
    <font>
      <sz val="11"/>
      <color theme="1"/>
      <name val="Calibri"/>
      <family val="2"/>
      <scheme val="minor"/>
    </font>
    <font>
      <b/>
      <sz val="22"/>
      <color rgb="FFFFFFFF"/>
      <name val="Arial"/>
    </font>
    <font>
      <i/>
      <sz val="14"/>
      <color rgb="FFD6E4F0"/>
      <name val="Arial"/>
    </font>
    <font>
      <i/>
      <sz val="11"/>
      <color rgb="FFD9D9D9"/>
      <name val="Arial"/>
    </font>
    <font>
      <b/>
      <sz val="8"/>
      <color rgb="FF2E75B6"/>
      <name val="Arial"/>
    </font>
    <font>
      <b/>
      <sz val="12"/>
      <color rgb="FF1A3A5C"/>
      <name val="Arial"/>
    </font>
    <font>
      <i/>
      <sz val="8"/>
      <color rgb="FF888888"/>
      <name val="Arial"/>
    </font>
    <font>
      <b/>
      <sz val="14"/>
      <color rgb="FFFFFFFF"/>
      <name val="Arial"/>
    </font>
    <font>
      <i/>
      <sz val="9"/>
      <color rgb="FF2E75B6"/>
      <name val="Arial"/>
    </font>
    <font>
      <b/>
      <sz val="10"/>
      <color rgb="FFFFFFFF"/>
      <name val="Arial"/>
    </font>
    <font>
      <sz val="10"/>
      <color rgb="FF1A1A1A"/>
      <name val="Arial"/>
    </font>
    <font>
      <sz val="10"/>
      <color rgb="FF0000FF"/>
      <name val="Arial"/>
    </font>
    <font>
      <b/>
      <sz val="10"/>
      <color rgb="FF1A3A5C"/>
      <name val="Arial"/>
    </font>
    <font>
      <b/>
      <sz val="10"/>
      <color rgb="FF1A1A1A"/>
      <name val="Arial"/>
    </font>
    <font>
      <i/>
      <sz val="9"/>
      <color rgb="FF444444"/>
      <name val="Arial"/>
    </font>
    <font>
      <b/>
      <sz val="11"/>
      <color rgb="FFFFFFFF"/>
      <name val="Arial"/>
    </font>
    <font>
      <b/>
      <sz val="10"/>
      <color rgb="FF0000FF"/>
      <name val="Arial"/>
    </font>
    <font>
      <b/>
      <sz val="11"/>
      <color theme="1"/>
      <name val="Calibri"/>
      <family val="2"/>
      <scheme val="minor"/>
    </font>
    <font>
      <sz val="11"/>
      <color rgb="FF0000FF"/>
      <name val="Arial"/>
      <family val="2"/>
    </font>
    <font>
      <sz val="8"/>
      <name val="Calibri"/>
      <family val="2"/>
      <scheme val="minor"/>
    </font>
    <font>
      <b/>
      <sz val="24"/>
      <color theme="0"/>
      <name val="Calibri"/>
      <family val="2"/>
      <scheme val="minor"/>
    </font>
    <font>
      <sz val="11"/>
      <color rgb="FF22222F"/>
      <name val="Arial"/>
      <family val="2"/>
    </font>
    <font>
      <sz val="10"/>
      <color rgb="FF1A1A1A"/>
      <name val="Arial"/>
      <family val="2"/>
    </font>
    <font>
      <i/>
      <sz val="9"/>
      <color rgb="FF444444"/>
      <name val="Arial"/>
      <family val="2"/>
    </font>
    <font>
      <b/>
      <i/>
      <sz val="10"/>
      <color rgb="FFFFFFFF"/>
      <name val="Arial"/>
      <family val="2"/>
    </font>
    <font>
      <i/>
      <sz val="11"/>
      <color theme="1"/>
      <name val="Calibri"/>
      <family val="2"/>
      <scheme val="minor"/>
    </font>
    <font>
      <i/>
      <sz val="10"/>
      <color rgb="FF1A1A1A"/>
      <name val="Arial"/>
      <family val="2"/>
    </font>
    <font>
      <b/>
      <i/>
      <sz val="10"/>
      <color rgb="FF1A3A5C"/>
      <name val="Arial"/>
      <family val="2"/>
    </font>
    <font>
      <b/>
      <sz val="10"/>
      <color rgb="FFFFFFFF"/>
      <name val="Arial"/>
      <family val="2"/>
    </font>
    <font>
      <b/>
      <sz val="11"/>
      <color theme="0"/>
      <name val="Calibri"/>
      <family val="2"/>
      <scheme val="minor"/>
    </font>
    <font>
      <i/>
      <u/>
      <sz val="9"/>
      <color theme="4" tint="-0.249977111117893"/>
      <name val="Calibri"/>
      <family val="2"/>
      <scheme val="minor"/>
    </font>
    <font>
      <b/>
      <sz val="12"/>
      <color theme="0"/>
      <name val="Calibri"/>
      <family val="2"/>
      <scheme val="minor"/>
    </font>
  </fonts>
  <fills count="21">
    <fill>
      <patternFill patternType="none"/>
    </fill>
    <fill>
      <patternFill patternType="gray125"/>
    </fill>
    <fill>
      <patternFill patternType="solid">
        <fgColor rgb="FFFFFFFF"/>
      </patternFill>
    </fill>
    <fill>
      <patternFill patternType="solid">
        <fgColor rgb="FF1A3A5C"/>
      </patternFill>
    </fill>
    <fill>
      <patternFill patternType="solid">
        <fgColor rgb="FFC9A800"/>
      </patternFill>
    </fill>
    <fill>
      <patternFill patternType="solid">
        <fgColor rgb="FFD6E4F0"/>
      </patternFill>
    </fill>
    <fill>
      <patternFill patternType="solid">
        <fgColor rgb="FF2E75B6"/>
      </patternFill>
    </fill>
    <fill>
      <patternFill patternType="solid">
        <fgColor rgb="FF1F7A8C"/>
      </patternFill>
    </fill>
    <fill>
      <patternFill patternType="solid">
        <fgColor rgb="FFF5F5F5"/>
      </patternFill>
    </fill>
    <fill>
      <patternFill patternType="solid">
        <fgColor rgb="FFE2EFDA"/>
      </patternFill>
    </fill>
    <fill>
      <patternFill patternType="solid">
        <fgColor rgb="FFFFF9E6"/>
      </patternFill>
    </fill>
    <fill>
      <patternFill patternType="solid">
        <fgColor rgb="FFD6EEF2"/>
      </patternFill>
    </fill>
    <fill>
      <patternFill patternType="solid">
        <fgColor rgb="FF1E7145"/>
      </patternFill>
    </fill>
    <fill>
      <patternFill patternType="solid">
        <fgColor rgb="FFC55A11"/>
      </patternFill>
    </fill>
    <fill>
      <patternFill patternType="solid">
        <fgColor rgb="FFFCE4D6"/>
      </patternFill>
    </fill>
    <fill>
      <patternFill patternType="solid">
        <fgColor rgb="FFF8F8FC"/>
        <bgColor indexed="64"/>
      </patternFill>
    </fill>
    <fill>
      <patternFill patternType="solid">
        <fgColor rgb="FFFFFFFF"/>
        <bgColor indexed="64"/>
      </patternFill>
    </fill>
    <fill>
      <patternFill patternType="solid">
        <fgColor theme="4" tint="-0.499984740745262"/>
        <bgColor indexed="64"/>
      </patternFill>
    </fill>
    <fill>
      <patternFill patternType="solid">
        <fgColor theme="9" tint="-0.499984740745262"/>
        <bgColor indexed="64"/>
      </patternFill>
    </fill>
    <fill>
      <patternFill patternType="solid">
        <fgColor rgb="FF002060"/>
        <bgColor indexed="64"/>
      </patternFill>
    </fill>
    <fill>
      <patternFill patternType="solid">
        <fgColor theme="4" tint="0.39997558519241921"/>
        <bgColor indexed="64"/>
      </patternFill>
    </fill>
  </fills>
  <borders count="20">
    <border>
      <left/>
      <right/>
      <top/>
      <bottom/>
      <diagonal/>
    </border>
    <border>
      <left style="medium">
        <color rgb="FF2E75B6"/>
      </left>
      <right/>
      <top/>
      <bottom style="thin">
        <color rgb="FFD9D9D9"/>
      </bottom>
      <diagonal/>
    </border>
    <border>
      <left style="thin">
        <color rgb="FFCCCCCC"/>
      </left>
      <right style="thin">
        <color rgb="FFCCCCCC"/>
      </right>
      <top style="thin">
        <color rgb="FFCCCCCC"/>
      </top>
      <bottom style="thin">
        <color rgb="FFCCCCCC"/>
      </bottom>
      <diagonal/>
    </border>
    <border>
      <left style="thick">
        <color rgb="FFC9A800"/>
      </left>
      <right/>
      <top/>
      <bottom/>
      <diagonal/>
    </border>
    <border>
      <left style="thick">
        <color rgb="FF2E75B6"/>
      </left>
      <right/>
      <top/>
      <bottom style="thin">
        <color rgb="FFD9D9D9"/>
      </bottom>
      <diagonal/>
    </border>
    <border>
      <left style="thick">
        <color rgb="FF1E7145"/>
      </left>
      <right/>
      <top/>
      <bottom style="thin">
        <color rgb="FFD9D9D9"/>
      </bottom>
      <diagonal/>
    </border>
    <border>
      <left style="thick">
        <color rgb="FF1F7A8C"/>
      </left>
      <right/>
      <top/>
      <bottom style="thin">
        <color rgb="FFD9D9D9"/>
      </bottom>
      <diagonal/>
    </border>
    <border>
      <left style="thick">
        <color rgb="FFC55A11"/>
      </left>
      <right/>
      <top/>
      <bottom style="thin">
        <color rgb="FFD9D9D9"/>
      </bottom>
      <diagonal/>
    </border>
    <border>
      <left style="thick">
        <color rgb="FF1A3A5C"/>
      </left>
      <right/>
      <top/>
      <bottom style="thin">
        <color rgb="FFD9D9D9"/>
      </bottom>
      <diagonal/>
    </border>
    <border>
      <left/>
      <right/>
      <top style="thin">
        <color theme="4"/>
      </top>
      <bottom style="double">
        <color theme="4"/>
      </bottom>
      <diagonal/>
    </border>
    <border>
      <left/>
      <right/>
      <top style="thick">
        <color rgb="FFDBE4F0"/>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7" fillId="0" borderId="9" applyNumberFormat="0" applyFill="0" applyAlignment="0" applyProtection="0"/>
  </cellStyleXfs>
  <cellXfs count="91">
    <xf numFmtId="0" fontId="0" fillId="0" borderId="0" xfId="0"/>
    <xf numFmtId="0" fontId="0" fillId="3" borderId="0" xfId="0" applyFill="1"/>
    <xf numFmtId="0" fontId="0" fillId="4" borderId="0" xfId="0" applyFill="1"/>
    <xf numFmtId="0" fontId="0" fillId="2" borderId="0" xfId="0" applyFill="1"/>
    <xf numFmtId="0" fontId="9" fillId="3"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3" borderId="2" xfId="0" applyFont="1" applyFill="1" applyBorder="1" applyAlignment="1">
      <alignment horizontal="left" vertical="center"/>
    </xf>
    <xf numFmtId="0" fontId="0" fillId="3" borderId="2" xfId="0" applyFill="1" applyBorder="1"/>
    <xf numFmtId="0" fontId="10" fillId="2" borderId="2" xfId="0" applyFont="1" applyFill="1" applyBorder="1" applyAlignment="1">
      <alignment horizontal="left" vertical="center"/>
    </xf>
    <xf numFmtId="164" fontId="11" fillId="2" borderId="2" xfId="0" applyNumberFormat="1" applyFont="1" applyFill="1" applyBorder="1" applyAlignment="1">
      <alignment horizontal="right" vertical="center"/>
    </xf>
    <xf numFmtId="165" fontId="10" fillId="2" borderId="2" xfId="0" applyNumberFormat="1" applyFont="1" applyFill="1" applyBorder="1" applyAlignment="1">
      <alignment horizontal="center" vertical="center"/>
    </xf>
    <xf numFmtId="0" fontId="10" fillId="8" borderId="2" xfId="0" applyFont="1" applyFill="1" applyBorder="1" applyAlignment="1">
      <alignment horizontal="left" vertical="center"/>
    </xf>
    <xf numFmtId="164" fontId="11" fillId="8" borderId="2" xfId="0" applyNumberFormat="1" applyFont="1" applyFill="1" applyBorder="1" applyAlignment="1">
      <alignment horizontal="right" vertical="center"/>
    </xf>
    <xf numFmtId="165" fontId="10" fillId="8" borderId="2" xfId="0" applyNumberFormat="1" applyFont="1" applyFill="1" applyBorder="1" applyAlignment="1">
      <alignment horizontal="center" vertical="center"/>
    </xf>
    <xf numFmtId="0" fontId="12" fillId="5" borderId="2" xfId="0" applyFont="1" applyFill="1" applyBorder="1" applyAlignment="1">
      <alignment horizontal="left" vertical="center"/>
    </xf>
    <xf numFmtId="164" fontId="12" fillId="5" borderId="2" xfId="0" applyNumberFormat="1" applyFont="1" applyFill="1" applyBorder="1" applyAlignment="1">
      <alignment horizontal="right" vertical="center"/>
    </xf>
    <xf numFmtId="165" fontId="13" fillId="5" borderId="2" xfId="0" applyNumberFormat="1" applyFont="1" applyFill="1" applyBorder="1" applyAlignment="1">
      <alignment horizontal="center" vertical="center"/>
    </xf>
    <xf numFmtId="0" fontId="10" fillId="9" borderId="2" xfId="0" applyFont="1" applyFill="1" applyBorder="1" applyAlignment="1">
      <alignment horizontal="left" vertical="center"/>
    </xf>
    <xf numFmtId="164" fontId="11" fillId="9" borderId="2" xfId="0" applyNumberFormat="1" applyFont="1" applyFill="1" applyBorder="1" applyAlignment="1">
      <alignment horizontal="right" vertical="center"/>
    </xf>
    <xf numFmtId="165" fontId="10" fillId="9" borderId="2" xfId="0" applyNumberFormat="1" applyFont="1" applyFill="1" applyBorder="1" applyAlignment="1">
      <alignment horizontal="center" vertical="center"/>
    </xf>
    <xf numFmtId="0" fontId="12" fillId="9" borderId="2" xfId="0" applyFont="1" applyFill="1" applyBorder="1" applyAlignment="1">
      <alignment horizontal="left" vertical="center"/>
    </xf>
    <xf numFmtId="165" fontId="13" fillId="9" borderId="2" xfId="0" applyNumberFormat="1" applyFont="1" applyFill="1" applyBorder="1" applyAlignment="1">
      <alignment horizontal="center" vertical="center"/>
    </xf>
    <xf numFmtId="0" fontId="10" fillId="10" borderId="2" xfId="0" applyFont="1" applyFill="1" applyBorder="1" applyAlignment="1">
      <alignment horizontal="left" vertical="center"/>
    </xf>
    <xf numFmtId="166" fontId="11" fillId="10" borderId="2" xfId="0" applyNumberFormat="1" applyFont="1" applyFill="1" applyBorder="1" applyAlignment="1">
      <alignment horizontal="right" vertical="center"/>
    </xf>
    <xf numFmtId="165" fontId="10" fillId="10" borderId="2" xfId="0" applyNumberFormat="1" applyFont="1" applyFill="1" applyBorder="1" applyAlignment="1">
      <alignment horizontal="center" vertical="center"/>
    </xf>
    <xf numFmtId="167" fontId="12" fillId="10" borderId="2" xfId="0" applyNumberFormat="1" applyFont="1" applyFill="1" applyBorder="1" applyAlignment="1">
      <alignment horizontal="center" vertical="center"/>
    </xf>
    <xf numFmtId="0" fontId="14" fillId="10" borderId="2" xfId="0" applyFont="1" applyFill="1" applyBorder="1" applyAlignment="1">
      <alignment horizontal="left" vertical="center" wrapText="1"/>
    </xf>
    <xf numFmtId="0" fontId="10" fillId="11" borderId="2" xfId="0" applyFont="1" applyFill="1" applyBorder="1" applyAlignment="1">
      <alignment horizontal="left" vertical="center"/>
    </xf>
    <xf numFmtId="167" fontId="12" fillId="11" borderId="2" xfId="0" applyNumberFormat="1" applyFont="1" applyFill="1" applyBorder="1" applyAlignment="1">
      <alignment horizontal="center" vertical="center"/>
    </xf>
    <xf numFmtId="0" fontId="8" fillId="0" borderId="0" xfId="0" applyFont="1"/>
    <xf numFmtId="0" fontId="15" fillId="6" borderId="3" xfId="0" applyFont="1" applyFill="1" applyBorder="1" applyAlignment="1">
      <alignment horizontal="left" vertical="center"/>
    </xf>
    <xf numFmtId="0" fontId="15" fillId="12" borderId="3" xfId="0" applyFont="1" applyFill="1" applyBorder="1" applyAlignment="1">
      <alignment horizontal="left" vertical="center"/>
    </xf>
    <xf numFmtId="0" fontId="15" fillId="7" borderId="3" xfId="0" applyFont="1" applyFill="1" applyBorder="1" applyAlignment="1">
      <alignment horizontal="left" vertical="center"/>
    </xf>
    <xf numFmtId="0" fontId="15" fillId="13" borderId="3" xfId="0" applyFont="1" applyFill="1" applyBorder="1" applyAlignment="1">
      <alignment horizontal="left" vertical="center"/>
    </xf>
    <xf numFmtId="0" fontId="15" fillId="3" borderId="3" xfId="0" applyFont="1" applyFill="1" applyBorder="1" applyAlignment="1">
      <alignment horizontal="left" vertical="center"/>
    </xf>
    <xf numFmtId="0" fontId="10" fillId="5" borderId="8" xfId="0" applyFont="1" applyFill="1" applyBorder="1" applyAlignment="1">
      <alignment horizontal="left" vertical="top" wrapText="1"/>
    </xf>
    <xf numFmtId="0" fontId="6" fillId="5" borderId="0" xfId="0" applyFont="1" applyFill="1" applyAlignment="1">
      <alignment horizontal="left" vertical="center"/>
    </xf>
    <xf numFmtId="0" fontId="13" fillId="5" borderId="2" xfId="0" applyFont="1" applyFill="1" applyBorder="1" applyAlignment="1">
      <alignment horizontal="left" vertical="center"/>
    </xf>
    <xf numFmtId="164" fontId="16" fillId="5" borderId="2" xfId="0" applyNumberFormat="1" applyFont="1" applyFill="1" applyBorder="1" applyAlignment="1">
      <alignment horizontal="right" vertical="center"/>
    </xf>
    <xf numFmtId="0" fontId="13" fillId="9" borderId="2" xfId="0" applyFont="1" applyFill="1" applyBorder="1" applyAlignment="1">
      <alignment horizontal="left" vertical="center"/>
    </xf>
    <xf numFmtId="164" fontId="16" fillId="9" borderId="2" xfId="0" applyNumberFormat="1" applyFont="1" applyFill="1" applyBorder="1" applyAlignment="1">
      <alignment horizontal="right" vertical="center"/>
    </xf>
    <xf numFmtId="0" fontId="13" fillId="10" borderId="2" xfId="0" applyFont="1" applyFill="1" applyBorder="1" applyAlignment="1">
      <alignment horizontal="left" vertical="center"/>
    </xf>
    <xf numFmtId="164" fontId="16" fillId="10" borderId="2" xfId="0" applyNumberFormat="1" applyFont="1" applyFill="1" applyBorder="1" applyAlignment="1">
      <alignment horizontal="right" vertical="center"/>
    </xf>
    <xf numFmtId="0" fontId="13" fillId="14" borderId="2" xfId="0" applyFont="1" applyFill="1" applyBorder="1" applyAlignment="1">
      <alignment horizontal="left" vertical="center"/>
    </xf>
    <xf numFmtId="164" fontId="16" fillId="14" borderId="2" xfId="0" applyNumberFormat="1" applyFont="1" applyFill="1" applyBorder="1" applyAlignment="1">
      <alignment horizontal="right" vertical="center"/>
    </xf>
    <xf numFmtId="0" fontId="18" fillId="15" borderId="0" xfId="0" applyFont="1" applyFill="1" applyAlignment="1">
      <alignment horizontal="right" vertical="center" wrapText="1" indent="1"/>
    </xf>
    <xf numFmtId="3" fontId="18" fillId="15" borderId="0" xfId="0" applyNumberFormat="1" applyFont="1" applyFill="1" applyAlignment="1">
      <alignment horizontal="right" vertical="center" wrapText="1" indent="1"/>
    </xf>
    <xf numFmtId="3" fontId="18" fillId="15" borderId="10" xfId="0" applyNumberFormat="1" applyFont="1" applyFill="1" applyBorder="1" applyAlignment="1">
      <alignment horizontal="right" vertical="center" wrapText="1" indent="1"/>
    </xf>
    <xf numFmtId="3" fontId="18" fillId="16" borderId="10" xfId="0" applyNumberFormat="1" applyFont="1" applyFill="1" applyBorder="1" applyAlignment="1">
      <alignment horizontal="right" vertical="center" wrapText="1" indent="1"/>
    </xf>
    <xf numFmtId="0" fontId="0" fillId="18" borderId="0" xfId="0" applyFill="1"/>
    <xf numFmtId="0" fontId="22" fillId="14" borderId="7" xfId="0" applyFont="1" applyFill="1" applyBorder="1" applyAlignment="1">
      <alignment horizontal="left" vertical="top" wrapText="1"/>
    </xf>
    <xf numFmtId="0" fontId="23" fillId="10" borderId="2" xfId="0" applyFont="1" applyFill="1" applyBorder="1" applyAlignment="1">
      <alignment horizontal="left" vertical="center" wrapText="1"/>
    </xf>
    <xf numFmtId="0" fontId="23" fillId="11" borderId="2" xfId="0" applyFont="1" applyFill="1" applyBorder="1" applyAlignment="1">
      <alignment horizontal="left" vertical="center" wrapText="1"/>
    </xf>
    <xf numFmtId="0" fontId="24" fillId="3" borderId="2" xfId="0" applyFont="1" applyFill="1" applyBorder="1" applyAlignment="1">
      <alignment horizontal="center" vertical="center"/>
    </xf>
    <xf numFmtId="0" fontId="24" fillId="6" borderId="2" xfId="0" applyFont="1" applyFill="1" applyBorder="1" applyAlignment="1">
      <alignment horizontal="center" vertical="center"/>
    </xf>
    <xf numFmtId="0" fontId="24" fillId="7" borderId="2" xfId="0" applyFont="1" applyFill="1" applyBorder="1" applyAlignment="1">
      <alignment horizontal="center" vertical="center"/>
    </xf>
    <xf numFmtId="0" fontId="24" fillId="3" borderId="2" xfId="0" applyFont="1" applyFill="1" applyBorder="1" applyAlignment="1">
      <alignment horizontal="left" vertical="center"/>
    </xf>
    <xf numFmtId="0" fontId="25" fillId="3" borderId="2" xfId="0" applyFont="1" applyFill="1" applyBorder="1"/>
    <xf numFmtId="0" fontId="26" fillId="9" borderId="2" xfId="0" applyFont="1" applyFill="1" applyBorder="1" applyAlignment="1">
      <alignment horizontal="left" vertical="center"/>
    </xf>
    <xf numFmtId="167" fontId="27" fillId="9" borderId="2" xfId="0" applyNumberFormat="1" applyFont="1" applyFill="1" applyBorder="1" applyAlignment="1">
      <alignment horizontal="center" vertical="center"/>
    </xf>
    <xf numFmtId="0" fontId="23" fillId="9" borderId="2" xfId="0" applyFont="1" applyFill="1" applyBorder="1" applyAlignment="1">
      <alignment horizontal="left" vertical="center" wrapText="1"/>
    </xf>
    <xf numFmtId="0" fontId="28" fillId="3" borderId="2" xfId="0" applyFont="1" applyFill="1" applyBorder="1" applyAlignment="1">
      <alignment horizontal="center" vertical="center"/>
    </xf>
    <xf numFmtId="0" fontId="30" fillId="0" borderId="0" xfId="0" applyFont="1"/>
    <xf numFmtId="0" fontId="29" fillId="20" borderId="13" xfId="1" applyFont="1" applyFill="1" applyBorder="1" applyAlignment="1">
      <alignment horizontal="center" vertical="center"/>
    </xf>
    <xf numFmtId="0" fontId="29" fillId="20" borderId="14" xfId="1" applyFont="1" applyFill="1" applyBorder="1" applyAlignment="1">
      <alignment horizontal="center" vertical="center"/>
    </xf>
    <xf numFmtId="0" fontId="17" fillId="0" borderId="15" xfId="1" applyBorder="1"/>
    <xf numFmtId="3" fontId="17" fillId="15" borderId="11" xfId="1" applyNumberFormat="1" applyFill="1" applyBorder="1" applyAlignment="1">
      <alignment horizontal="right" vertical="center" wrapText="1" indent="1"/>
    </xf>
    <xf numFmtId="3" fontId="17" fillId="15" borderId="16" xfId="1" applyNumberFormat="1" applyFill="1" applyBorder="1" applyAlignment="1">
      <alignment horizontal="right" vertical="center" wrapText="1" indent="1"/>
    </xf>
    <xf numFmtId="3" fontId="21" fillId="16" borderId="11" xfId="0" applyNumberFormat="1" applyFont="1" applyFill="1" applyBorder="1" applyAlignment="1">
      <alignment horizontal="right" vertical="center" wrapText="1" indent="1"/>
    </xf>
    <xf numFmtId="3" fontId="21" fillId="16" borderId="16" xfId="0" applyNumberFormat="1" applyFont="1" applyFill="1" applyBorder="1" applyAlignment="1">
      <alignment horizontal="right" vertical="center" wrapText="1" indent="1"/>
    </xf>
    <xf numFmtId="0" fontId="17" fillId="20" borderId="17" xfId="1" applyFill="1" applyBorder="1"/>
    <xf numFmtId="2" fontId="17" fillId="20" borderId="18" xfId="1" applyNumberFormat="1" applyFill="1" applyBorder="1"/>
    <xf numFmtId="1" fontId="17" fillId="20" borderId="18" xfId="1" applyNumberFormat="1" applyFill="1" applyBorder="1"/>
    <xf numFmtId="1" fontId="17" fillId="20" borderId="19" xfId="1" applyNumberFormat="1" applyFill="1" applyBorder="1"/>
    <xf numFmtId="0" fontId="22" fillId="5" borderId="4" xfId="0" applyFont="1" applyFill="1" applyBorder="1" applyAlignment="1">
      <alignment horizontal="left" vertical="top" wrapText="1"/>
    </xf>
    <xf numFmtId="0" fontId="22" fillId="9" borderId="5" xfId="0" applyFont="1" applyFill="1" applyBorder="1" applyAlignment="1">
      <alignment horizontal="left" vertical="top" wrapText="1"/>
    </xf>
    <xf numFmtId="0" fontId="22" fillId="11" borderId="6" xfId="0" applyFont="1" applyFill="1" applyBorder="1" applyAlignment="1">
      <alignment horizontal="left" vertical="top" wrapText="1"/>
    </xf>
    <xf numFmtId="0" fontId="31" fillId="19" borderId="12" xfId="1" applyFont="1" applyFill="1" applyBorder="1" applyAlignment="1">
      <alignment horizontal="center" vertical="center"/>
    </xf>
    <xf numFmtId="0" fontId="20" fillId="17" borderId="0" xfId="0" applyFont="1" applyFill="1" applyAlignment="1">
      <alignment horizontal="center"/>
    </xf>
    <xf numFmtId="0" fontId="0" fillId="18" borderId="0" xfId="0" applyFill="1" applyAlignment="1">
      <alignment horizontal="center"/>
    </xf>
    <xf numFmtId="0" fontId="1" fillId="3" borderId="0" xfId="0" applyFont="1" applyFill="1" applyAlignment="1">
      <alignment horizontal="center" vertical="center"/>
    </xf>
    <xf numFmtId="0" fontId="0" fillId="0" borderId="0" xfId="0"/>
    <xf numFmtId="0" fontId="5" fillId="5" borderId="1" xfId="0" applyFont="1" applyFill="1" applyBorder="1" applyAlignment="1">
      <alignment horizontal="left" vertical="center"/>
    </xf>
    <xf numFmtId="0" fontId="4" fillId="2" borderId="0" xfId="0" applyFont="1" applyFill="1"/>
    <xf numFmtId="0" fontId="2" fillId="3" borderId="0" xfId="0" applyFont="1" applyFill="1" applyAlignment="1">
      <alignment horizontal="center" vertical="center"/>
    </xf>
    <xf numFmtId="0" fontId="6" fillId="2" borderId="0" xfId="0" applyFont="1" applyFill="1" applyAlignment="1">
      <alignment horizontal="center" vertical="center"/>
    </xf>
    <xf numFmtId="0" fontId="3" fillId="3" borderId="0" xfId="0" applyFont="1" applyFill="1" applyAlignment="1">
      <alignment horizontal="center" vertical="center"/>
    </xf>
    <xf numFmtId="0" fontId="7" fillId="3" borderId="0" xfId="0" applyFont="1" applyFill="1" applyAlignment="1">
      <alignment horizontal="center" vertical="center"/>
    </xf>
    <xf numFmtId="0" fontId="8" fillId="0" borderId="0" xfId="0" applyFont="1" applyAlignment="1">
      <alignment horizontal="left" vertical="center"/>
    </xf>
    <xf numFmtId="0" fontId="7" fillId="3" borderId="0" xfId="0" applyFont="1" applyFill="1" applyAlignment="1">
      <alignment horizontal="left" vertical="center"/>
    </xf>
  </cellXfs>
  <cellStyles count="2">
    <cellStyle name="Normal" xfId="0" builtinId="0"/>
    <cellStyle name="Total" xfId="1" builtinId="25"/>
  </cellStyles>
  <dxfs count="10">
    <dxf>
      <numFmt numFmtId="3" formatCode="#,##0"/>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20"/>
        <color theme="1"/>
        <name val="Calibri"/>
        <family val="2"/>
        <scheme val="minor"/>
      </font>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border>
        <bottom style="thin">
          <color indexed="64"/>
        </bottom>
      </border>
    </dxf>
    <dxf>
      <fill>
        <patternFill patternType="solid">
          <fgColor indexed="64"/>
          <bgColor theme="4" tint="-0.249977111117893"/>
        </patternFill>
      </fill>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IN"/>
              <a:t>Revenue vs Net Profit (₹ Crores)</a:t>
            </a:r>
          </a:p>
        </c:rich>
      </c:tx>
      <c:overlay val="1"/>
    </c:title>
    <c:autoTitleDeleted val="0"/>
    <c:plotArea>
      <c:layout/>
      <c:barChart>
        <c:barDir val="col"/>
        <c:grouping val="clustered"/>
        <c:varyColors val="1"/>
        <c:ser>
          <c:idx val="0"/>
          <c:order val="0"/>
          <c:tx>
            <c:v>FY2022</c:v>
          </c:tx>
          <c:spPr>
            <a:ln>
              <a:prstDash val="solid"/>
            </a:ln>
          </c:spPr>
          <c:invertIfNegative val="1"/>
          <c:cat>
            <c:strRef>
              <c:f>'Charts &amp; Trends'!$B$6:$B$7</c:f>
              <c:strCache>
                <c:ptCount val="2"/>
                <c:pt idx="0">
                  <c:v>Revenue (₹ Cr)</c:v>
                </c:pt>
                <c:pt idx="1">
                  <c:v>Net Profit (₹ Cr)</c:v>
                </c:pt>
              </c:strCache>
            </c:strRef>
          </c:cat>
          <c:val>
            <c:numRef>
              <c:f>'Charts &amp; Trends'!$C$6:$C$7</c:f>
              <c:numCache>
                <c:formatCode>\₹#,##0</c:formatCode>
                <c:ptCount val="2"/>
                <c:pt idx="0">
                  <c:v>191754</c:v>
                </c:pt>
                <c:pt idx="1">
                  <c:v>38227</c:v>
                </c:pt>
              </c:numCache>
            </c:numRef>
          </c:val>
          <c:extLst>
            <c:ext xmlns:c16="http://schemas.microsoft.com/office/drawing/2014/chart" uri="{C3380CC4-5D6E-409C-BE32-E72D297353CC}">
              <c16:uniqueId val="{00000000-3BD6-4FDE-89E2-2132C0F8D8B2}"/>
            </c:ext>
          </c:extLst>
        </c:ser>
        <c:ser>
          <c:idx val="1"/>
          <c:order val="1"/>
          <c:tx>
            <c:strRef>
              <c:f>'Charts &amp; Trends'!$D$5</c:f>
              <c:strCache>
                <c:ptCount val="1"/>
                <c:pt idx="0">
                  <c:v>FY2023</c:v>
                </c:pt>
              </c:strCache>
            </c:strRef>
          </c:tx>
          <c:spPr>
            <a:ln>
              <a:prstDash val="solid"/>
            </a:ln>
          </c:spPr>
          <c:invertIfNegative val="1"/>
          <c:cat>
            <c:strRef>
              <c:f>'Charts &amp; Trends'!$B$6:$B$7</c:f>
              <c:strCache>
                <c:ptCount val="2"/>
                <c:pt idx="0">
                  <c:v>Revenue (₹ Cr)</c:v>
                </c:pt>
                <c:pt idx="1">
                  <c:v>Net Profit (₹ Cr)</c:v>
                </c:pt>
              </c:strCache>
            </c:strRef>
          </c:cat>
          <c:val>
            <c:numRef>
              <c:f>'Charts &amp; Trends'!$D$6:$D$7</c:f>
              <c:numCache>
                <c:formatCode>\₹#,##0</c:formatCode>
                <c:ptCount val="2"/>
                <c:pt idx="0">
                  <c:v>225458</c:v>
                </c:pt>
                <c:pt idx="1">
                  <c:v>42303</c:v>
                </c:pt>
              </c:numCache>
            </c:numRef>
          </c:val>
          <c:extLst>
            <c:ext xmlns:c16="http://schemas.microsoft.com/office/drawing/2014/chart" uri="{C3380CC4-5D6E-409C-BE32-E72D297353CC}">
              <c16:uniqueId val="{00000001-3BD6-4FDE-89E2-2132C0F8D8B2}"/>
            </c:ext>
          </c:extLst>
        </c:ser>
        <c:ser>
          <c:idx val="2"/>
          <c:order val="2"/>
          <c:tx>
            <c:strRef>
              <c:f>'Charts &amp; Trends'!$E$5</c:f>
              <c:strCache>
                <c:ptCount val="1"/>
                <c:pt idx="0">
                  <c:v>FY2024</c:v>
                </c:pt>
              </c:strCache>
            </c:strRef>
          </c:tx>
          <c:spPr>
            <a:ln>
              <a:prstDash val="solid"/>
            </a:ln>
          </c:spPr>
          <c:invertIfNegative val="1"/>
          <c:cat>
            <c:strRef>
              <c:f>'Charts &amp; Trends'!$B$6:$B$7</c:f>
              <c:strCache>
                <c:ptCount val="2"/>
                <c:pt idx="0">
                  <c:v>Revenue (₹ Cr)</c:v>
                </c:pt>
                <c:pt idx="1">
                  <c:v>Net Profit (₹ Cr)</c:v>
                </c:pt>
              </c:strCache>
            </c:strRef>
          </c:cat>
          <c:val>
            <c:numRef>
              <c:f>'Charts &amp; Trends'!$E$6:$E$7</c:f>
              <c:numCache>
                <c:formatCode>\₹#,##0</c:formatCode>
                <c:ptCount val="2"/>
                <c:pt idx="0">
                  <c:v>240893</c:v>
                </c:pt>
                <c:pt idx="1">
                  <c:v>46099</c:v>
                </c:pt>
              </c:numCache>
            </c:numRef>
          </c:val>
          <c:extLst>
            <c:ext xmlns:c16="http://schemas.microsoft.com/office/drawing/2014/chart" uri="{C3380CC4-5D6E-409C-BE32-E72D297353CC}">
              <c16:uniqueId val="{00000002-3BD6-4FDE-89E2-2132C0F8D8B2}"/>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IN"/>
                  <a:t>Financial Year</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 Crores</a:t>
                </a:r>
              </a:p>
            </c:rich>
          </c:tx>
          <c:overlay val="1"/>
        </c:title>
        <c:numFmt formatCode="\₹#,##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IN"/>
              <a:t>Net Profit Margin Trend (%)</a:t>
            </a:r>
          </a:p>
        </c:rich>
      </c:tx>
      <c:overlay val="1"/>
    </c:title>
    <c:autoTitleDeleted val="0"/>
    <c:plotArea>
      <c:layout/>
      <c:lineChart>
        <c:grouping val="standard"/>
        <c:varyColors val="1"/>
        <c:ser>
          <c:idx val="0"/>
          <c:order val="0"/>
          <c:tx>
            <c:strRef>
              <c:f>'Charts &amp; Trends'!$I$30</c:f>
              <c:strCache>
                <c:ptCount val="1"/>
                <c:pt idx="0">
                  <c:v>FY2022</c:v>
                </c:pt>
              </c:strCache>
            </c:strRef>
          </c:tx>
          <c:spPr>
            <a:ln>
              <a:prstDash val="solid"/>
            </a:ln>
          </c:spPr>
          <c:marker>
            <c:symbol val="none"/>
          </c:marker>
          <c:val>
            <c:numRef>
              <c:f>'Charts &amp; Trends'!$I$31:$I$32</c:f>
              <c:numCache>
                <c:formatCode>General</c:formatCode>
                <c:ptCount val="2"/>
                <c:pt idx="0">
                  <c:v>19.899999999999999</c:v>
                </c:pt>
                <c:pt idx="1">
                  <c:v>17.899999999999999</c:v>
                </c:pt>
              </c:numCache>
            </c:numRef>
          </c:val>
          <c:smooth val="1"/>
          <c:extLst>
            <c:ext xmlns:c16="http://schemas.microsoft.com/office/drawing/2014/chart" uri="{C3380CC4-5D6E-409C-BE32-E72D297353CC}">
              <c16:uniqueId val="{00000000-189A-4A41-84F7-976F1A4C3764}"/>
            </c:ext>
          </c:extLst>
        </c:ser>
        <c:ser>
          <c:idx val="1"/>
          <c:order val="1"/>
          <c:tx>
            <c:strRef>
              <c:f>'Charts &amp; Trends'!$J$30</c:f>
              <c:strCache>
                <c:ptCount val="1"/>
                <c:pt idx="0">
                  <c:v>FY2023</c:v>
                </c:pt>
              </c:strCache>
            </c:strRef>
          </c:tx>
          <c:spPr>
            <a:ln>
              <a:prstDash val="solid"/>
            </a:ln>
          </c:spPr>
          <c:marker>
            <c:symbol val="none"/>
          </c:marker>
          <c:val>
            <c:numRef>
              <c:f>'Charts &amp; Trends'!$J$31:$J$32</c:f>
              <c:numCache>
                <c:formatCode>General</c:formatCode>
                <c:ptCount val="2"/>
                <c:pt idx="0">
                  <c:v>18.8</c:v>
                </c:pt>
                <c:pt idx="1">
                  <c:v>18.5</c:v>
                </c:pt>
              </c:numCache>
            </c:numRef>
          </c:val>
          <c:smooth val="1"/>
          <c:extLst>
            <c:ext xmlns:c16="http://schemas.microsoft.com/office/drawing/2014/chart" uri="{C3380CC4-5D6E-409C-BE32-E72D297353CC}">
              <c16:uniqueId val="{00000001-189A-4A41-84F7-976F1A4C3764}"/>
            </c:ext>
          </c:extLst>
        </c:ser>
        <c:ser>
          <c:idx val="2"/>
          <c:order val="2"/>
          <c:tx>
            <c:strRef>
              <c:f>'Charts &amp; Trends'!$K$30</c:f>
              <c:strCache>
                <c:ptCount val="1"/>
                <c:pt idx="0">
                  <c:v>FY2024</c:v>
                </c:pt>
              </c:strCache>
            </c:strRef>
          </c:tx>
          <c:spPr>
            <a:ln>
              <a:prstDash val="solid"/>
            </a:ln>
          </c:spPr>
          <c:marker>
            <c:symbol val="none"/>
          </c:marker>
          <c:val>
            <c:numRef>
              <c:f>'Charts &amp; Trends'!$K$31:$K$32</c:f>
              <c:numCache>
                <c:formatCode>General</c:formatCode>
                <c:ptCount val="2"/>
                <c:pt idx="0">
                  <c:v>19.100000000000001</c:v>
                </c:pt>
                <c:pt idx="1">
                  <c:v>18.399999999999999</c:v>
                </c:pt>
              </c:numCache>
            </c:numRef>
          </c:val>
          <c:smooth val="1"/>
          <c:extLst>
            <c:ext xmlns:c16="http://schemas.microsoft.com/office/drawing/2014/chart" uri="{C3380CC4-5D6E-409C-BE32-E72D297353CC}">
              <c16:uniqueId val="{00000002-189A-4A41-84F7-976F1A4C3764}"/>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rPr lang="en-IN"/>
                  <a:t>Financial Year</a:t>
                </a:r>
              </a:p>
            </c:rich>
          </c:tx>
          <c:overlay val="1"/>
        </c:title>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Margin %</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11</xdr:row>
      <xdr:rowOff>0</xdr:rowOff>
    </xdr:from>
    <xdr:ext cx="6480000" cy="432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0</xdr:colOff>
      <xdr:row>27</xdr:row>
      <xdr:rowOff>0</xdr:rowOff>
    </xdr:from>
    <xdr:ext cx="6480000" cy="4320000"/>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editAs="oneCell">
    <xdr:from>
      <xdr:col>2</xdr:col>
      <xdr:colOff>1190625</xdr:colOff>
      <xdr:row>0</xdr:row>
      <xdr:rowOff>180975</xdr:rowOff>
    </xdr:from>
    <xdr:to>
      <xdr:col>2</xdr:col>
      <xdr:colOff>1581150</xdr:colOff>
      <xdr:row>2</xdr:row>
      <xdr:rowOff>19050</xdr:rowOff>
    </xdr:to>
    <xdr:pic>
      <xdr:nvPicPr>
        <xdr:cNvPr id="5" name="Graphic 4" descr="Transfer1 with solid fill">
          <a:extLst>
            <a:ext uri="{FF2B5EF4-FFF2-40B4-BE49-F238E27FC236}">
              <a16:creationId xmlns:a16="http://schemas.microsoft.com/office/drawing/2014/main" id="{34126E33-AF80-DD21-723F-B981563E3AC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81300" y="180975"/>
          <a:ext cx="390525" cy="3905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00C317-2C09-4BBE-99BB-C4205B620212}" name="Table1" displayName="Table1" ref="C6:F10" headerRowDxfId="9" totalsRowDxfId="6" headerRowBorderDxfId="8" tableBorderDxfId="7" headerRowCellStyle="Total" dataCellStyle="Total" totalsRowCellStyle="Total">
  <autoFilter ref="C6:F10" xr:uid="{8500C317-2C09-4BBE-99BB-C4205B620212}"/>
  <tableColumns count="4">
    <tableColumn id="1" xr3:uid="{1F830CC2-4118-45D9-A3FC-F62E48E47E62}" name="Particulars" totalsRowLabel="Total" dataDxfId="5" totalsRowDxfId="4" dataCellStyle="Total"/>
    <tableColumn id="2" xr3:uid="{A5EB93A5-2F0E-43B0-A529-B69BC1F87E81}" name="FY2022" dataDxfId="3" dataCellStyle="Total"/>
    <tableColumn id="3" xr3:uid="{164CA9B9-B38E-425F-92C8-72EC28DB7170}" name="FY2023" dataDxfId="2" dataCellStyle="Total"/>
    <tableColumn id="4" xr3:uid="{8959B9A8-7973-4F77-9BF6-79649BBF5571}" name="FY2024" totalsRowFunction="sum" dataDxfId="1" totalsRowDxfId="0" dataCellStyle="Total"/>
  </tableColumns>
  <tableStyleInfo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9"/>
  <sheetViews>
    <sheetView showGridLines="0" zoomScale="79" workbookViewId="0">
      <selection activeCell="B49" sqref="B49:C51"/>
    </sheetView>
  </sheetViews>
  <sheetFormatPr defaultRowHeight="15" x14ac:dyDescent="0.25"/>
  <cols>
    <col min="1" max="8" width="18" customWidth="1"/>
  </cols>
  <sheetData>
    <row r="1" spans="1:8" ht="20.100000000000001" customHeight="1" x14ac:dyDescent="0.25">
      <c r="A1" s="1"/>
      <c r="B1" s="1"/>
      <c r="C1" s="1"/>
      <c r="D1" s="1"/>
      <c r="E1" s="1"/>
      <c r="F1" s="1"/>
      <c r="G1" s="1"/>
      <c r="H1" s="1"/>
    </row>
    <row r="2" spans="1:8" ht="20.100000000000001" customHeight="1" x14ac:dyDescent="0.25">
      <c r="A2" s="1"/>
      <c r="B2" s="1"/>
      <c r="C2" s="1"/>
      <c r="D2" s="1"/>
      <c r="E2" s="1"/>
      <c r="F2" s="1"/>
      <c r="G2" s="1"/>
      <c r="H2" s="1"/>
    </row>
    <row r="3" spans="1:8" ht="20.100000000000001" customHeight="1" x14ac:dyDescent="0.25">
      <c r="A3" s="1"/>
      <c r="B3" s="1"/>
      <c r="C3" s="1"/>
      <c r="D3" s="1"/>
      <c r="E3" s="1"/>
      <c r="F3" s="1"/>
      <c r="G3" s="1"/>
      <c r="H3" s="1"/>
    </row>
    <row r="4" spans="1:8" ht="50.1" customHeight="1" x14ac:dyDescent="0.25">
      <c r="A4" s="81" t="s">
        <v>0</v>
      </c>
      <c r="B4" s="82"/>
      <c r="C4" s="82"/>
      <c r="D4" s="82"/>
      <c r="E4" s="82"/>
      <c r="F4" s="82"/>
      <c r="G4" s="82"/>
      <c r="H4" s="82"/>
    </row>
    <row r="5" spans="1:8" ht="39.950000000000003" customHeight="1" x14ac:dyDescent="0.25">
      <c r="A5" s="85" t="s">
        <v>1</v>
      </c>
      <c r="B5" s="82"/>
      <c r="C5" s="82"/>
      <c r="D5" s="82"/>
      <c r="E5" s="82"/>
      <c r="F5" s="82"/>
      <c r="G5" s="82"/>
      <c r="H5" s="82"/>
    </row>
    <row r="6" spans="1:8" ht="30" customHeight="1" x14ac:dyDescent="0.25">
      <c r="A6" s="87" t="s">
        <v>2</v>
      </c>
      <c r="B6" s="82"/>
      <c r="C6" s="82"/>
      <c r="D6" s="82"/>
      <c r="E6" s="82"/>
      <c r="F6" s="82"/>
      <c r="G6" s="82"/>
      <c r="H6" s="82"/>
    </row>
    <row r="7" spans="1:8" ht="20.100000000000001" customHeight="1" x14ac:dyDescent="0.25">
      <c r="A7" s="1"/>
      <c r="B7" s="1"/>
      <c r="C7" s="1"/>
      <c r="D7" s="1"/>
      <c r="E7" s="1"/>
      <c r="F7" s="1"/>
      <c r="G7" s="1"/>
      <c r="H7" s="1"/>
    </row>
    <row r="8" spans="1:8" ht="20.100000000000001" customHeight="1" x14ac:dyDescent="0.25">
      <c r="A8" s="1"/>
      <c r="B8" s="1"/>
      <c r="C8" s="1"/>
      <c r="D8" s="1"/>
      <c r="E8" s="1"/>
      <c r="F8" s="1"/>
      <c r="G8" s="1"/>
      <c r="H8" s="1"/>
    </row>
    <row r="9" spans="1:8" ht="6" customHeight="1" x14ac:dyDescent="0.25">
      <c r="A9" s="2"/>
      <c r="B9" s="2"/>
      <c r="C9" s="2"/>
      <c r="D9" s="2"/>
      <c r="E9" s="2"/>
      <c r="F9" s="2"/>
      <c r="G9" s="2"/>
      <c r="H9" s="2"/>
    </row>
    <row r="10" spans="1:8" ht="20.100000000000001" customHeight="1" x14ac:dyDescent="0.25">
      <c r="A10" s="3"/>
      <c r="B10" s="3"/>
      <c r="C10" s="3"/>
      <c r="D10" s="3"/>
      <c r="E10" s="3"/>
      <c r="F10" s="3"/>
      <c r="G10" s="3"/>
      <c r="H10" s="3"/>
    </row>
    <row r="11" spans="1:8" ht="8.1" customHeight="1" x14ac:dyDescent="0.25">
      <c r="A11" s="3"/>
      <c r="B11" s="3"/>
      <c r="C11" s="3"/>
      <c r="D11" s="3"/>
      <c r="E11" s="3"/>
      <c r="F11" s="3"/>
      <c r="G11" s="3"/>
      <c r="H11" s="3"/>
    </row>
    <row r="12" spans="1:8" ht="14.1" customHeight="1" x14ac:dyDescent="0.25">
      <c r="A12" s="3"/>
      <c r="B12" s="84" t="s">
        <v>3</v>
      </c>
      <c r="C12" s="82"/>
      <c r="D12" s="82"/>
      <c r="E12" s="82"/>
      <c r="F12" s="82"/>
      <c r="G12" s="82"/>
      <c r="H12" s="3"/>
    </row>
    <row r="13" spans="1:8" ht="21.95" customHeight="1" x14ac:dyDescent="0.25">
      <c r="A13" s="3"/>
      <c r="B13" s="83" t="s">
        <v>4</v>
      </c>
      <c r="C13" s="82"/>
      <c r="D13" s="82"/>
      <c r="E13" s="82"/>
      <c r="F13" s="82"/>
      <c r="G13" s="82"/>
      <c r="H13" s="3"/>
    </row>
    <row r="14" spans="1:8" ht="20.100000000000001" customHeight="1" x14ac:dyDescent="0.25">
      <c r="A14" s="3"/>
      <c r="B14" s="3"/>
      <c r="C14" s="3"/>
      <c r="D14" s="3"/>
      <c r="E14" s="3"/>
      <c r="F14" s="3"/>
      <c r="G14" s="3"/>
      <c r="H14" s="3"/>
    </row>
    <row r="15" spans="1:8" ht="14.1" customHeight="1" x14ac:dyDescent="0.25">
      <c r="A15" s="3"/>
      <c r="B15" s="84" t="s">
        <v>5</v>
      </c>
      <c r="C15" s="82"/>
      <c r="D15" s="82"/>
      <c r="E15" s="82"/>
      <c r="F15" s="82"/>
      <c r="G15" s="82"/>
      <c r="H15" s="3"/>
    </row>
    <row r="16" spans="1:8" ht="21.95" customHeight="1" x14ac:dyDescent="0.25">
      <c r="A16" s="3"/>
      <c r="B16" s="83" t="s">
        <v>6</v>
      </c>
      <c r="C16" s="82"/>
      <c r="D16" s="82"/>
      <c r="E16" s="82"/>
      <c r="F16" s="82"/>
      <c r="G16" s="82"/>
      <c r="H16" s="3"/>
    </row>
    <row r="17" spans="1:8" ht="20.100000000000001" customHeight="1" x14ac:dyDescent="0.25">
      <c r="A17" s="3"/>
      <c r="B17" s="3"/>
      <c r="C17" s="3"/>
      <c r="D17" s="3"/>
      <c r="E17" s="3"/>
      <c r="F17" s="3"/>
      <c r="G17" s="3"/>
      <c r="H17" s="3"/>
    </row>
    <row r="18" spans="1:8" ht="14.1" customHeight="1" x14ac:dyDescent="0.25">
      <c r="A18" s="3"/>
      <c r="B18" s="84" t="s">
        <v>7</v>
      </c>
      <c r="C18" s="82"/>
      <c r="D18" s="82"/>
      <c r="E18" s="82"/>
      <c r="F18" s="82"/>
      <c r="G18" s="82"/>
      <c r="H18" s="3"/>
    </row>
    <row r="19" spans="1:8" ht="21.95" customHeight="1" x14ac:dyDescent="0.25">
      <c r="A19" s="3"/>
      <c r="B19" s="83" t="s">
        <v>8</v>
      </c>
      <c r="C19" s="82"/>
      <c r="D19" s="82"/>
      <c r="E19" s="82"/>
      <c r="F19" s="82"/>
      <c r="G19" s="82"/>
      <c r="H19" s="3"/>
    </row>
    <row r="20" spans="1:8" ht="20.100000000000001" customHeight="1" x14ac:dyDescent="0.25">
      <c r="A20" s="3"/>
      <c r="B20" s="3"/>
      <c r="C20" s="3"/>
      <c r="D20" s="3"/>
      <c r="E20" s="3"/>
      <c r="F20" s="3"/>
      <c r="G20" s="3"/>
      <c r="H20" s="3"/>
    </row>
    <row r="21" spans="1:8" ht="14.1" customHeight="1" x14ac:dyDescent="0.25">
      <c r="A21" s="3"/>
      <c r="B21" s="84" t="s">
        <v>9</v>
      </c>
      <c r="C21" s="82"/>
      <c r="D21" s="82"/>
      <c r="E21" s="82"/>
      <c r="F21" s="82"/>
      <c r="G21" s="82"/>
      <c r="H21" s="3"/>
    </row>
    <row r="22" spans="1:8" ht="21.95" customHeight="1" x14ac:dyDescent="0.25">
      <c r="A22" s="3"/>
      <c r="B22" s="83" t="s">
        <v>10</v>
      </c>
      <c r="C22" s="82"/>
      <c r="D22" s="82"/>
      <c r="E22" s="82"/>
      <c r="F22" s="82"/>
      <c r="G22" s="82"/>
      <c r="H22" s="3"/>
    </row>
    <row r="23" spans="1:8" ht="20.100000000000001" customHeight="1" x14ac:dyDescent="0.25">
      <c r="A23" s="3"/>
      <c r="B23" s="3"/>
      <c r="C23" s="3"/>
      <c r="D23" s="3"/>
      <c r="E23" s="3"/>
      <c r="F23" s="3"/>
      <c r="G23" s="3"/>
      <c r="H23" s="3"/>
    </row>
    <row r="24" spans="1:8" ht="14.1" customHeight="1" x14ac:dyDescent="0.25">
      <c r="A24" s="3"/>
      <c r="B24" s="84" t="s">
        <v>11</v>
      </c>
      <c r="C24" s="82"/>
      <c r="D24" s="82"/>
      <c r="E24" s="82"/>
      <c r="F24" s="82"/>
      <c r="G24" s="82"/>
      <c r="H24" s="3"/>
    </row>
    <row r="25" spans="1:8" ht="21.95" customHeight="1" x14ac:dyDescent="0.25">
      <c r="A25" s="3"/>
      <c r="B25" s="83" t="s">
        <v>12</v>
      </c>
      <c r="C25" s="82"/>
      <c r="D25" s="82"/>
      <c r="E25" s="82"/>
      <c r="F25" s="82"/>
      <c r="G25" s="82"/>
      <c r="H25" s="3"/>
    </row>
    <row r="26" spans="1:8" ht="20.100000000000001" customHeight="1" x14ac:dyDescent="0.25">
      <c r="A26" s="3"/>
      <c r="B26" s="3"/>
      <c r="C26" s="3"/>
      <c r="D26" s="3"/>
      <c r="E26" s="3"/>
      <c r="F26" s="3"/>
      <c r="G26" s="3"/>
      <c r="H26" s="3"/>
    </row>
    <row r="27" spans="1:8" ht="14.1" customHeight="1" x14ac:dyDescent="0.25">
      <c r="A27" s="3"/>
      <c r="B27" s="84" t="s">
        <v>13</v>
      </c>
      <c r="C27" s="82"/>
      <c r="D27" s="82"/>
      <c r="E27" s="82"/>
      <c r="F27" s="82"/>
      <c r="G27" s="82"/>
      <c r="H27" s="3"/>
    </row>
    <row r="28" spans="1:8" ht="21.95" customHeight="1" x14ac:dyDescent="0.25">
      <c r="A28" s="3"/>
      <c r="B28" s="83" t="s">
        <v>14</v>
      </c>
      <c r="C28" s="82"/>
      <c r="D28" s="82"/>
      <c r="E28" s="82"/>
      <c r="F28" s="82"/>
      <c r="G28" s="82"/>
      <c r="H28" s="3"/>
    </row>
    <row r="29" spans="1:8" ht="20.100000000000001" customHeight="1" x14ac:dyDescent="0.25">
      <c r="A29" s="3"/>
      <c r="B29" s="3"/>
      <c r="C29" s="3"/>
      <c r="D29" s="3"/>
      <c r="E29" s="3"/>
      <c r="F29" s="3"/>
      <c r="G29" s="3"/>
      <c r="H29" s="3"/>
    </row>
    <row r="30" spans="1:8" ht="20.100000000000001" customHeight="1" x14ac:dyDescent="0.25">
      <c r="A30" s="3"/>
      <c r="B30" s="3"/>
      <c r="C30" s="3"/>
      <c r="D30" s="3"/>
      <c r="E30" s="3"/>
      <c r="F30" s="3"/>
      <c r="G30" s="3"/>
      <c r="H30" s="3"/>
    </row>
    <row r="31" spans="1:8" ht="20.100000000000001" customHeight="1" x14ac:dyDescent="0.25">
      <c r="A31" s="3"/>
      <c r="B31" s="3"/>
      <c r="C31" s="3"/>
      <c r="D31" s="3"/>
      <c r="E31" s="3"/>
      <c r="F31" s="3"/>
      <c r="G31" s="3"/>
      <c r="H31" s="3"/>
    </row>
    <row r="32" spans="1:8" ht="20.100000000000001" customHeight="1" x14ac:dyDescent="0.25">
      <c r="A32" s="3"/>
      <c r="B32" s="3"/>
      <c r="C32" s="3"/>
      <c r="D32" s="3"/>
      <c r="E32" s="3"/>
      <c r="F32" s="3"/>
      <c r="G32" s="3"/>
      <c r="H32" s="3"/>
    </row>
    <row r="33" spans="1:8" ht="20.100000000000001" customHeight="1" x14ac:dyDescent="0.25">
      <c r="A33" s="3"/>
      <c r="B33" s="3"/>
      <c r="C33" s="3"/>
      <c r="D33" s="3"/>
      <c r="E33" s="3"/>
      <c r="F33" s="3"/>
      <c r="G33" s="3"/>
      <c r="H33" s="3"/>
    </row>
    <row r="34" spans="1:8" ht="20.100000000000001" customHeight="1" x14ac:dyDescent="0.25">
      <c r="A34" s="3"/>
      <c r="B34" s="3"/>
      <c r="C34" s="3"/>
      <c r="D34" s="3"/>
      <c r="E34" s="3"/>
      <c r="F34" s="3"/>
      <c r="G34" s="3"/>
      <c r="H34" s="3"/>
    </row>
    <row r="35" spans="1:8" ht="20.100000000000001" customHeight="1" x14ac:dyDescent="0.25">
      <c r="A35" s="3"/>
      <c r="B35" s="3"/>
      <c r="C35" s="3"/>
      <c r="D35" s="3"/>
      <c r="E35" s="3"/>
      <c r="F35" s="3"/>
      <c r="G35" s="3"/>
      <c r="H35" s="3"/>
    </row>
    <row r="36" spans="1:8" ht="8.1" customHeight="1" x14ac:dyDescent="0.25">
      <c r="A36" s="1"/>
      <c r="B36" s="1"/>
      <c r="C36" s="1"/>
      <c r="D36" s="1"/>
      <c r="E36" s="1"/>
      <c r="F36" s="1"/>
      <c r="G36" s="1"/>
      <c r="H36" s="1"/>
    </row>
    <row r="37" spans="1:8" ht="20.100000000000001" customHeight="1" x14ac:dyDescent="0.25">
      <c r="A37" s="86" t="s">
        <v>15</v>
      </c>
      <c r="B37" s="82"/>
      <c r="C37" s="82"/>
      <c r="D37" s="82"/>
      <c r="E37" s="82"/>
      <c r="F37" s="82"/>
      <c r="G37" s="82"/>
      <c r="H37" s="82"/>
    </row>
    <row r="38" spans="1:8" ht="20.100000000000001" customHeight="1" x14ac:dyDescent="0.25">
      <c r="A38" s="3"/>
      <c r="B38" s="3"/>
      <c r="C38" s="3"/>
      <c r="D38" s="3"/>
      <c r="E38" s="3"/>
      <c r="F38" s="3"/>
      <c r="G38" s="3"/>
      <c r="H38" s="3"/>
    </row>
    <row r="39" spans="1:8" ht="20.100000000000001" customHeight="1" x14ac:dyDescent="0.25">
      <c r="A39" s="3"/>
      <c r="B39" s="3"/>
      <c r="C39" s="3"/>
      <c r="D39" s="3"/>
      <c r="E39" s="3"/>
      <c r="F39" s="3"/>
      <c r="G39" s="3"/>
      <c r="H39" s="3"/>
    </row>
  </sheetData>
  <mergeCells count="16">
    <mergeCell ref="A37:H37"/>
    <mergeCell ref="B15:G15"/>
    <mergeCell ref="A6:H6"/>
    <mergeCell ref="B25:G25"/>
    <mergeCell ref="B24:G24"/>
    <mergeCell ref="A4:H4"/>
    <mergeCell ref="B16:G16"/>
    <mergeCell ref="B19:G19"/>
    <mergeCell ref="B28:G28"/>
    <mergeCell ref="B22:G22"/>
    <mergeCell ref="B27:G27"/>
    <mergeCell ref="B12:G12"/>
    <mergeCell ref="B13:G13"/>
    <mergeCell ref="A5:H5"/>
    <mergeCell ref="B18:G18"/>
    <mergeCell ref="B21:G2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28"/>
  <sheetViews>
    <sheetView showGridLines="0" topLeftCell="A16" workbookViewId="0">
      <selection activeCell="F8" sqref="F8"/>
    </sheetView>
  </sheetViews>
  <sheetFormatPr defaultRowHeight="15" x14ac:dyDescent="0.25"/>
  <cols>
    <col min="1" max="1" width="3" customWidth="1"/>
    <col min="2" max="2" width="32" customWidth="1"/>
    <col min="3" max="7" width="16" customWidth="1"/>
    <col min="8" max="8" width="3" customWidth="1"/>
  </cols>
  <sheetData>
    <row r="2" spans="2:7" ht="36" customHeight="1" x14ac:dyDescent="0.25">
      <c r="B2" s="88" t="s">
        <v>16</v>
      </c>
      <c r="C2" s="82"/>
      <c r="D2" s="82"/>
      <c r="E2" s="82"/>
      <c r="F2" s="82"/>
      <c r="G2" s="82"/>
    </row>
    <row r="3" spans="2:7" ht="8.1" customHeight="1" x14ac:dyDescent="0.25">
      <c r="B3" s="50"/>
      <c r="C3" s="50"/>
      <c r="D3" s="50"/>
      <c r="E3" s="50"/>
      <c r="F3" s="50"/>
      <c r="G3" s="50"/>
    </row>
    <row r="4" spans="2:7" ht="14.1" customHeight="1" x14ac:dyDescent="0.25">
      <c r="B4" s="89" t="s">
        <v>17</v>
      </c>
      <c r="C4" s="82"/>
      <c r="D4" s="82"/>
      <c r="E4" s="82"/>
      <c r="F4" s="82"/>
      <c r="G4" s="82"/>
    </row>
    <row r="6" spans="2:7" ht="27.95" customHeight="1" x14ac:dyDescent="0.25">
      <c r="B6" s="4" t="s">
        <v>18</v>
      </c>
      <c r="C6" s="5" t="s">
        <v>19</v>
      </c>
      <c r="D6" s="5" t="s">
        <v>20</v>
      </c>
      <c r="E6" s="5" t="s">
        <v>21</v>
      </c>
      <c r="F6" s="6" t="s">
        <v>22</v>
      </c>
      <c r="G6" s="6" t="s">
        <v>23</v>
      </c>
    </row>
    <row r="7" spans="2:7" ht="20.100000000000001" customHeight="1" x14ac:dyDescent="0.25">
      <c r="B7" s="7" t="s">
        <v>24</v>
      </c>
      <c r="C7" s="8"/>
      <c r="D7" s="8"/>
      <c r="E7" s="8"/>
      <c r="F7" s="8"/>
      <c r="G7" s="8"/>
    </row>
    <row r="8" spans="2:7" ht="20.100000000000001" customHeight="1" x14ac:dyDescent="0.25">
      <c r="B8" s="9" t="s">
        <v>25</v>
      </c>
      <c r="C8" s="47">
        <v>191754</v>
      </c>
      <c r="D8" s="47">
        <v>225458</v>
      </c>
      <c r="E8" s="47">
        <v>240893</v>
      </c>
      <c r="F8" s="11">
        <f t="shared" ref="F8:G10" si="0">(D8-C8)/C8</f>
        <v>0.17576686796624844</v>
      </c>
      <c r="G8" s="11">
        <f t="shared" si="0"/>
        <v>6.8460644554639891E-2</v>
      </c>
    </row>
    <row r="9" spans="2:7" ht="20.100000000000001" customHeight="1" x14ac:dyDescent="0.25">
      <c r="B9" s="12" t="s">
        <v>26</v>
      </c>
      <c r="C9" s="13">
        <v>3874</v>
      </c>
      <c r="D9" s="13">
        <v>4327</v>
      </c>
      <c r="E9" s="13">
        <v>4653</v>
      </c>
      <c r="F9" s="14">
        <f t="shared" si="0"/>
        <v>0.1169334021683015</v>
      </c>
      <c r="G9" s="14">
        <f t="shared" si="0"/>
        <v>7.5340882828749706E-2</v>
      </c>
    </row>
    <row r="10" spans="2:7" ht="20.100000000000001" customHeight="1" x14ac:dyDescent="0.25">
      <c r="B10" s="15" t="s">
        <v>27</v>
      </c>
      <c r="C10" s="16">
        <v>195628</v>
      </c>
      <c r="D10" s="16">
        <v>229785</v>
      </c>
      <c r="E10" s="16">
        <v>245546</v>
      </c>
      <c r="F10" s="17">
        <f t="shared" si="0"/>
        <v>0.1746017952440346</v>
      </c>
      <c r="G10" s="17">
        <f t="shared" si="0"/>
        <v>6.8590203886241485E-2</v>
      </c>
    </row>
    <row r="11" spans="2:7" ht="8.1" customHeight="1" x14ac:dyDescent="0.25"/>
    <row r="12" spans="2:7" ht="20.100000000000001" customHeight="1" x14ac:dyDescent="0.25">
      <c r="B12" s="7" t="s">
        <v>28</v>
      </c>
      <c r="C12" s="8"/>
      <c r="D12" s="8"/>
      <c r="E12" s="8"/>
      <c r="F12" s="8"/>
      <c r="G12" s="8"/>
    </row>
    <row r="13" spans="2:7" ht="20.100000000000001" customHeight="1" x14ac:dyDescent="0.25">
      <c r="B13" s="9" t="s">
        <v>29</v>
      </c>
      <c r="C13" s="10">
        <v>106106</v>
      </c>
      <c r="D13" s="10">
        <v>124832</v>
      </c>
      <c r="E13" s="10">
        <v>133735</v>
      </c>
      <c r="F13" s="11">
        <f t="shared" ref="F13:G18" si="1">(D13-C13)/C13</f>
        <v>0.17648389346502555</v>
      </c>
      <c r="G13" s="11">
        <f t="shared" si="1"/>
        <v>7.1319853883619583E-2</v>
      </c>
    </row>
    <row r="14" spans="2:7" ht="20.100000000000001" customHeight="1" x14ac:dyDescent="0.25">
      <c r="B14" s="12" t="s">
        <v>30</v>
      </c>
      <c r="C14" s="13">
        <v>18057</v>
      </c>
      <c r="D14" s="13">
        <v>22363</v>
      </c>
      <c r="E14" s="13">
        <v>23892</v>
      </c>
      <c r="F14" s="14">
        <f t="shared" si="1"/>
        <v>0.23846707648003546</v>
      </c>
      <c r="G14" s="14">
        <f t="shared" si="1"/>
        <v>6.8371864240039354E-2</v>
      </c>
    </row>
    <row r="15" spans="2:7" ht="20.100000000000001" customHeight="1" x14ac:dyDescent="0.25">
      <c r="B15" s="9" t="s">
        <v>31</v>
      </c>
      <c r="C15" s="10">
        <v>28491</v>
      </c>
      <c r="D15" s="10">
        <v>31204</v>
      </c>
      <c r="E15" s="10">
        <v>33217</v>
      </c>
      <c r="F15" s="11">
        <f t="shared" si="1"/>
        <v>9.5223052893896321E-2</v>
      </c>
      <c r="G15" s="11">
        <f t="shared" si="1"/>
        <v>6.4510960133316239E-2</v>
      </c>
    </row>
    <row r="16" spans="2:7" ht="20.100000000000001" customHeight="1" x14ac:dyDescent="0.25">
      <c r="B16" s="12" t="s">
        <v>32</v>
      </c>
      <c r="C16" s="13">
        <v>8129</v>
      </c>
      <c r="D16" s="13">
        <v>8738</v>
      </c>
      <c r="E16" s="13">
        <v>9102</v>
      </c>
      <c r="F16" s="14">
        <f t="shared" si="1"/>
        <v>7.4916963956206173E-2</v>
      </c>
      <c r="G16" s="14">
        <f t="shared" si="1"/>
        <v>4.1657129777981229E-2</v>
      </c>
    </row>
    <row r="17" spans="2:7" ht="20.100000000000001" customHeight="1" x14ac:dyDescent="0.25">
      <c r="B17" s="9" t="s">
        <v>33</v>
      </c>
      <c r="C17" s="10">
        <v>529</v>
      </c>
      <c r="D17" s="10">
        <v>612</v>
      </c>
      <c r="E17" s="10">
        <v>698</v>
      </c>
      <c r="F17" s="11">
        <f t="shared" si="1"/>
        <v>0.15689981096408318</v>
      </c>
      <c r="G17" s="11">
        <f t="shared" si="1"/>
        <v>0.14052287581699346</v>
      </c>
    </row>
    <row r="18" spans="2:7" ht="20.100000000000001" customHeight="1" x14ac:dyDescent="0.25">
      <c r="B18" s="15" t="s">
        <v>34</v>
      </c>
      <c r="C18" s="16">
        <v>161312</v>
      </c>
      <c r="D18" s="16">
        <v>187749</v>
      </c>
      <c r="E18" s="16">
        <v>200644</v>
      </c>
      <c r="F18" s="17">
        <f t="shared" si="1"/>
        <v>0.16388737353699662</v>
      </c>
      <c r="G18" s="17">
        <f t="shared" si="1"/>
        <v>6.8682123473360709E-2</v>
      </c>
    </row>
    <row r="19" spans="2:7" ht="8.1" customHeight="1" x14ac:dyDescent="0.25"/>
    <row r="20" spans="2:7" ht="20.100000000000001" customHeight="1" thickBot="1" x14ac:dyDescent="0.3">
      <c r="B20" s="7" t="s">
        <v>35</v>
      </c>
      <c r="C20" s="8"/>
      <c r="D20" s="8"/>
      <c r="E20" s="8"/>
      <c r="F20" s="8"/>
      <c r="G20" s="8"/>
    </row>
    <row r="21" spans="2:7" ht="20.100000000000001" customHeight="1" thickTop="1" x14ac:dyDescent="0.25">
      <c r="B21" s="18" t="s">
        <v>36</v>
      </c>
      <c r="C21" s="48">
        <v>53057</v>
      </c>
      <c r="D21" s="48">
        <v>59259</v>
      </c>
      <c r="E21" s="48">
        <v>64296</v>
      </c>
      <c r="F21" s="20">
        <f t="shared" ref="F21:G24" si="2">(D21-C21)/C21</f>
        <v>0.11689315264715307</v>
      </c>
      <c r="G21" s="20">
        <f t="shared" si="2"/>
        <v>8.499974687389257E-2</v>
      </c>
    </row>
    <row r="22" spans="2:7" ht="20.100000000000001" customHeight="1" x14ac:dyDescent="0.25">
      <c r="B22" s="18" t="s">
        <v>37</v>
      </c>
      <c r="C22" s="19">
        <v>37661</v>
      </c>
      <c r="D22" s="19">
        <v>45363</v>
      </c>
      <c r="E22" s="19">
        <v>48551</v>
      </c>
      <c r="F22" s="20">
        <f t="shared" si="2"/>
        <v>0.20450864289317863</v>
      </c>
      <c r="G22" s="20">
        <f t="shared" si="2"/>
        <v>7.0277538963472427E-2</v>
      </c>
    </row>
    <row r="23" spans="2:7" ht="20.100000000000001" customHeight="1" thickBot="1" x14ac:dyDescent="0.3">
      <c r="B23" s="9" t="s">
        <v>38</v>
      </c>
      <c r="C23" s="10">
        <v>9764</v>
      </c>
      <c r="D23" s="10">
        <v>11392</v>
      </c>
      <c r="E23" s="10">
        <v>12227</v>
      </c>
      <c r="F23" s="11">
        <f t="shared" si="2"/>
        <v>0.16673494469479722</v>
      </c>
      <c r="G23" s="11">
        <f t="shared" si="2"/>
        <v>7.329705056179775E-2</v>
      </c>
    </row>
    <row r="24" spans="2:7" ht="20.100000000000001" customHeight="1" thickTop="1" x14ac:dyDescent="0.25">
      <c r="B24" s="21" t="s">
        <v>39</v>
      </c>
      <c r="C24" s="49">
        <v>38449</v>
      </c>
      <c r="D24" s="49">
        <v>42303</v>
      </c>
      <c r="E24" s="49">
        <v>46099</v>
      </c>
      <c r="F24" s="22">
        <f t="shared" si="2"/>
        <v>0.10023667715675311</v>
      </c>
      <c r="G24" s="22">
        <f t="shared" si="2"/>
        <v>8.9733588634375819E-2</v>
      </c>
    </row>
    <row r="25" spans="2:7" ht="8.1" customHeight="1" x14ac:dyDescent="0.25"/>
    <row r="26" spans="2:7" ht="20.100000000000001" customHeight="1" x14ac:dyDescent="0.25">
      <c r="B26" s="7" t="s">
        <v>40</v>
      </c>
      <c r="C26" s="8"/>
      <c r="D26" s="8"/>
      <c r="E26" s="8"/>
      <c r="F26" s="8"/>
      <c r="G26" s="8"/>
    </row>
    <row r="27" spans="2:7" ht="20.100000000000001" customHeight="1" x14ac:dyDescent="0.25">
      <c r="B27" s="23" t="s">
        <v>41</v>
      </c>
      <c r="C27" s="46">
        <v>104.75</v>
      </c>
      <c r="D27" s="46">
        <v>115.19</v>
      </c>
      <c r="E27" s="46">
        <v>126.88</v>
      </c>
      <c r="F27" s="25">
        <f>(D27-C27)/C27</f>
        <v>9.9665871121718361E-2</v>
      </c>
      <c r="G27" s="25">
        <f>(E27-D27)/D27</f>
        <v>0.10148450386318256</v>
      </c>
    </row>
    <row r="28" spans="2:7" ht="20.100000000000001" customHeight="1" x14ac:dyDescent="0.25">
      <c r="B28" s="23" t="s">
        <v>42</v>
      </c>
      <c r="C28" s="24">
        <v>43</v>
      </c>
      <c r="D28" s="24">
        <v>49</v>
      </c>
      <c r="E28" s="24">
        <v>56</v>
      </c>
      <c r="F28" s="25">
        <f>(D28-C28)/C28</f>
        <v>0.13953488372093023</v>
      </c>
      <c r="G28" s="25">
        <f>(E28-D28)/D28</f>
        <v>0.14285714285714285</v>
      </c>
    </row>
  </sheetData>
  <mergeCells count="2">
    <mergeCell ref="B2:G2"/>
    <mergeCell ref="B4:G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F23"/>
  <sheetViews>
    <sheetView showGridLines="0" topLeftCell="A23" workbookViewId="0">
      <selection activeCell="F10" sqref="F10"/>
    </sheetView>
  </sheetViews>
  <sheetFormatPr defaultRowHeight="15" x14ac:dyDescent="0.25"/>
  <cols>
    <col min="1" max="1" width="3" customWidth="1"/>
    <col min="2" max="2" width="34" customWidth="1"/>
    <col min="3" max="5" width="16" customWidth="1"/>
    <col min="6" max="6" width="51" bestFit="1" customWidth="1"/>
    <col min="7" max="7" width="3" customWidth="1"/>
  </cols>
  <sheetData>
    <row r="2" spans="2:6" ht="36" customHeight="1" x14ac:dyDescent="0.25">
      <c r="B2" s="88" t="s">
        <v>43</v>
      </c>
      <c r="C2" s="82"/>
      <c r="D2" s="82"/>
      <c r="E2" s="82"/>
      <c r="F2" s="82"/>
    </row>
    <row r="3" spans="2:6" ht="6" customHeight="1" x14ac:dyDescent="0.25">
      <c r="B3" s="2"/>
      <c r="C3" s="2"/>
      <c r="D3" s="2"/>
      <c r="E3" s="2"/>
      <c r="F3" s="2"/>
    </row>
    <row r="4" spans="2:6" ht="14.1" customHeight="1" x14ac:dyDescent="0.25">
      <c r="B4" s="89" t="s">
        <v>44</v>
      </c>
      <c r="C4" s="82"/>
      <c r="D4" s="82"/>
      <c r="E4" s="82"/>
      <c r="F4" s="82"/>
    </row>
    <row r="6" spans="2:6" ht="27.95" customHeight="1" x14ac:dyDescent="0.25">
      <c r="B6" s="54" t="s">
        <v>45</v>
      </c>
      <c r="C6" s="55" t="s">
        <v>19</v>
      </c>
      <c r="D6" s="55" t="s">
        <v>20</v>
      </c>
      <c r="E6" s="55" t="s">
        <v>21</v>
      </c>
      <c r="F6" s="56" t="s">
        <v>46</v>
      </c>
    </row>
    <row r="7" spans="2:6" ht="21.95" customHeight="1" x14ac:dyDescent="0.25">
      <c r="B7" s="57" t="s">
        <v>47</v>
      </c>
      <c r="C7" s="58"/>
      <c r="D7" s="58"/>
      <c r="E7" s="58"/>
      <c r="F7" s="58"/>
    </row>
    <row r="8" spans="2:6" ht="21.95" customHeight="1" x14ac:dyDescent="0.25">
      <c r="B8" s="59" t="s">
        <v>48</v>
      </c>
      <c r="C8" s="60">
        <v>19.899999999999999</v>
      </c>
      <c r="D8" s="60">
        <v>18.8</v>
      </c>
      <c r="E8" s="60">
        <v>19.100000000000001</v>
      </c>
      <c r="F8" s="61" t="s">
        <v>49</v>
      </c>
    </row>
    <row r="9" spans="2:6" ht="21.95" customHeight="1" x14ac:dyDescent="0.25">
      <c r="B9" s="59" t="s">
        <v>50</v>
      </c>
      <c r="C9" s="60">
        <v>17.899999999999999</v>
      </c>
      <c r="D9" s="60">
        <v>18.5</v>
      </c>
      <c r="E9" s="60">
        <v>18.399999999999999</v>
      </c>
      <c r="F9" s="61" t="s">
        <v>51</v>
      </c>
    </row>
    <row r="10" spans="2:6" ht="21.95" customHeight="1" x14ac:dyDescent="0.25">
      <c r="B10" s="59" t="s">
        <v>52</v>
      </c>
      <c r="C10" s="60">
        <v>46.2</v>
      </c>
      <c r="D10" s="60">
        <v>47.8</v>
      </c>
      <c r="E10" s="60">
        <v>49.1</v>
      </c>
      <c r="F10" s="61" t="s">
        <v>53</v>
      </c>
    </row>
    <row r="11" spans="2:6" ht="8.1" customHeight="1" x14ac:dyDescent="0.25"/>
    <row r="12" spans="2:6" ht="21.95" customHeight="1" x14ac:dyDescent="0.25">
      <c r="B12" s="7" t="s">
        <v>54</v>
      </c>
      <c r="C12" s="8"/>
      <c r="D12" s="8"/>
      <c r="E12" s="8"/>
      <c r="F12" s="8"/>
    </row>
    <row r="13" spans="2:6" ht="21.95" customHeight="1" x14ac:dyDescent="0.25">
      <c r="B13" s="23" t="s">
        <v>55</v>
      </c>
      <c r="C13" s="26">
        <v>16.8</v>
      </c>
      <c r="D13" s="26">
        <v>17.600000000000001</v>
      </c>
      <c r="E13" s="26">
        <v>6.8</v>
      </c>
      <c r="F13" s="52" t="s">
        <v>56</v>
      </c>
    </row>
    <row r="14" spans="2:6" ht="21.95" customHeight="1" x14ac:dyDescent="0.25">
      <c r="B14" s="23" t="s">
        <v>57</v>
      </c>
      <c r="C14" s="26">
        <v>14.2</v>
      </c>
      <c r="D14" s="26">
        <v>10.7</v>
      </c>
      <c r="E14" s="26">
        <v>9</v>
      </c>
      <c r="F14" s="52" t="s">
        <v>85</v>
      </c>
    </row>
    <row r="15" spans="2:6" ht="21.95" customHeight="1" x14ac:dyDescent="0.25">
      <c r="B15" s="23" t="s">
        <v>58</v>
      </c>
      <c r="C15" s="26">
        <v>13.1</v>
      </c>
      <c r="D15" s="26">
        <v>11.8</v>
      </c>
      <c r="E15" s="26">
        <v>9.9</v>
      </c>
      <c r="F15" s="52" t="s">
        <v>86</v>
      </c>
    </row>
    <row r="16" spans="2:6" ht="8.1" customHeight="1" x14ac:dyDescent="0.25"/>
    <row r="17" spans="2:6" ht="21.95" customHeight="1" x14ac:dyDescent="0.25">
      <c r="B17" s="7" t="s">
        <v>59</v>
      </c>
      <c r="C17" s="8"/>
      <c r="D17" s="8"/>
      <c r="E17" s="8"/>
      <c r="F17" s="8"/>
    </row>
    <row r="18" spans="2:6" ht="21.95" customHeight="1" x14ac:dyDescent="0.25">
      <c r="B18" s="28" t="s">
        <v>60</v>
      </c>
      <c r="C18" s="29">
        <v>21.4</v>
      </c>
      <c r="D18" s="29">
        <v>23.8</v>
      </c>
      <c r="E18" s="29">
        <v>27.2</v>
      </c>
      <c r="F18" s="53" t="s">
        <v>87</v>
      </c>
    </row>
    <row r="19" spans="2:6" ht="21.95" customHeight="1" x14ac:dyDescent="0.25">
      <c r="B19" s="28" t="s">
        <v>61</v>
      </c>
      <c r="C19" s="29">
        <v>55.3</v>
      </c>
      <c r="D19" s="29">
        <v>55.4</v>
      </c>
      <c r="E19" s="29">
        <v>55.5</v>
      </c>
      <c r="F19" s="53" t="s">
        <v>88</v>
      </c>
    </row>
    <row r="20" spans="2:6" ht="8.1" customHeight="1" x14ac:dyDescent="0.25"/>
    <row r="21" spans="2:6" ht="21.95" customHeight="1" x14ac:dyDescent="0.25">
      <c r="B21" s="7" t="s">
        <v>62</v>
      </c>
      <c r="C21" s="8"/>
      <c r="D21" s="8"/>
      <c r="E21" s="8"/>
      <c r="F21" s="8"/>
    </row>
    <row r="22" spans="2:6" ht="21.95" customHeight="1" x14ac:dyDescent="0.25">
      <c r="B22" s="23" t="s">
        <v>42</v>
      </c>
      <c r="C22" s="26">
        <v>43</v>
      </c>
      <c r="D22" s="26">
        <v>49</v>
      </c>
      <c r="E22" s="26">
        <v>56</v>
      </c>
      <c r="F22" s="52" t="s">
        <v>89</v>
      </c>
    </row>
    <row r="23" spans="2:6" ht="21.95" customHeight="1" x14ac:dyDescent="0.25">
      <c r="B23" s="23" t="s">
        <v>63</v>
      </c>
      <c r="C23" s="26">
        <v>41.7</v>
      </c>
      <c r="D23" s="26">
        <v>42.5</v>
      </c>
      <c r="E23" s="26">
        <v>44.2</v>
      </c>
      <c r="F23" s="27" t="s">
        <v>64</v>
      </c>
    </row>
  </sheetData>
  <mergeCells count="2">
    <mergeCell ref="B2:F2"/>
    <mergeCell ref="B4:F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B22"/>
  <sheetViews>
    <sheetView showGridLines="0" zoomScale="93" workbookViewId="0">
      <selection activeCell="B11" sqref="B11"/>
    </sheetView>
  </sheetViews>
  <sheetFormatPr defaultRowHeight="15" x14ac:dyDescent="0.25"/>
  <cols>
    <col min="1" max="1" width="3" customWidth="1"/>
    <col min="2" max="2" width="131.28515625" customWidth="1"/>
    <col min="3" max="3" width="3" customWidth="1"/>
  </cols>
  <sheetData>
    <row r="2" spans="2:2" ht="36" customHeight="1" x14ac:dyDescent="0.25">
      <c r="B2" s="90" t="s">
        <v>65</v>
      </c>
    </row>
    <row r="3" spans="2:2" ht="6" customHeight="1" x14ac:dyDescent="0.25">
      <c r="B3" s="2"/>
    </row>
    <row r="4" spans="2:2" ht="14.1" customHeight="1" x14ac:dyDescent="0.25">
      <c r="B4" s="30" t="s">
        <v>66</v>
      </c>
    </row>
    <row r="6" spans="2:2" ht="9.9499999999999993" customHeight="1" x14ac:dyDescent="0.25"/>
    <row r="7" spans="2:2" ht="26.1" customHeight="1" x14ac:dyDescent="0.25">
      <c r="B7" s="31" t="s">
        <v>67</v>
      </c>
    </row>
    <row r="8" spans="2:2" ht="80.099999999999994" customHeight="1" x14ac:dyDescent="0.25">
      <c r="B8" s="75" t="s">
        <v>91</v>
      </c>
    </row>
    <row r="9" spans="2:2" ht="9.9499999999999993" customHeight="1" x14ac:dyDescent="0.25"/>
    <row r="10" spans="2:2" ht="26.1" customHeight="1" x14ac:dyDescent="0.25">
      <c r="B10" s="32" t="s">
        <v>68</v>
      </c>
    </row>
    <row r="11" spans="2:2" ht="80.099999999999994" customHeight="1" x14ac:dyDescent="0.25">
      <c r="B11" s="76" t="s">
        <v>92</v>
      </c>
    </row>
    <row r="12" spans="2:2" ht="9.9499999999999993" customHeight="1" x14ac:dyDescent="0.25"/>
    <row r="13" spans="2:2" ht="26.1" customHeight="1" x14ac:dyDescent="0.25">
      <c r="B13" s="33" t="s">
        <v>69</v>
      </c>
    </row>
    <row r="14" spans="2:2" ht="80.099999999999994" customHeight="1" x14ac:dyDescent="0.25">
      <c r="B14" s="77" t="s">
        <v>93</v>
      </c>
    </row>
    <row r="15" spans="2:2" ht="9.9499999999999993" customHeight="1" x14ac:dyDescent="0.25"/>
    <row r="16" spans="2:2" ht="26.1" customHeight="1" x14ac:dyDescent="0.25">
      <c r="B16" s="34" t="s">
        <v>70</v>
      </c>
    </row>
    <row r="17" spans="2:2" ht="80.099999999999994" customHeight="1" x14ac:dyDescent="0.25">
      <c r="B17" s="51" t="s">
        <v>94</v>
      </c>
    </row>
    <row r="18" spans="2:2" ht="9.9499999999999993" customHeight="1" x14ac:dyDescent="0.25"/>
    <row r="19" spans="2:2" ht="26.1" customHeight="1" x14ac:dyDescent="0.25">
      <c r="B19" s="35" t="s">
        <v>71</v>
      </c>
    </row>
    <row r="20" spans="2:2" ht="80.099999999999994" customHeight="1" x14ac:dyDescent="0.25">
      <c r="B20" s="36" t="s">
        <v>95</v>
      </c>
    </row>
    <row r="22" spans="2:2" ht="24" customHeight="1" x14ac:dyDescent="0.25">
      <c r="B22" s="37" t="s">
        <v>72</v>
      </c>
    </row>
  </sheetData>
  <mergeCells count="1">
    <mergeCell ref="B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K32"/>
  <sheetViews>
    <sheetView showGridLines="0" workbookViewId="0">
      <selection activeCell="J2" sqref="J2"/>
    </sheetView>
  </sheetViews>
  <sheetFormatPr defaultRowHeight="15" x14ac:dyDescent="0.25"/>
  <cols>
    <col min="1" max="1" width="3" customWidth="1"/>
    <col min="2" max="2" width="20" customWidth="1"/>
    <col min="3" max="5" width="16" customWidth="1"/>
    <col min="6" max="6" width="3" customWidth="1"/>
  </cols>
  <sheetData>
    <row r="2" spans="2:5" ht="36" customHeight="1" x14ac:dyDescent="0.25">
      <c r="B2" s="88" t="s">
        <v>73</v>
      </c>
      <c r="C2" s="82"/>
      <c r="D2" s="82"/>
      <c r="E2" s="82"/>
    </row>
    <row r="5" spans="2:5" ht="24" customHeight="1" x14ac:dyDescent="0.25">
      <c r="B5" s="62" t="s">
        <v>90</v>
      </c>
      <c r="C5" s="5" t="s">
        <v>19</v>
      </c>
      <c r="D5" s="5" t="s">
        <v>20</v>
      </c>
      <c r="E5" s="5" t="s">
        <v>21</v>
      </c>
    </row>
    <row r="6" spans="2:5" ht="21.95" customHeight="1" x14ac:dyDescent="0.25">
      <c r="B6" s="38" t="s">
        <v>74</v>
      </c>
      <c r="C6" s="39">
        <v>191754</v>
      </c>
      <c r="D6" s="39">
        <v>225458</v>
      </c>
      <c r="E6" s="39">
        <v>240893</v>
      </c>
    </row>
    <row r="7" spans="2:5" ht="21.95" customHeight="1" x14ac:dyDescent="0.25">
      <c r="B7" s="40" t="s">
        <v>75</v>
      </c>
      <c r="C7" s="41">
        <v>38227</v>
      </c>
      <c r="D7" s="41">
        <v>42303</v>
      </c>
      <c r="E7" s="41">
        <v>46099</v>
      </c>
    </row>
    <row r="8" spans="2:5" ht="21.95" customHeight="1" x14ac:dyDescent="0.25">
      <c r="B8" s="42" t="s">
        <v>76</v>
      </c>
      <c r="C8" s="43">
        <v>34316</v>
      </c>
      <c r="D8" s="43">
        <v>41709</v>
      </c>
      <c r="E8" s="43">
        <v>44249</v>
      </c>
    </row>
    <row r="9" spans="2:5" ht="21.95" customHeight="1" x14ac:dyDescent="0.25">
      <c r="B9" s="44" t="s">
        <v>77</v>
      </c>
      <c r="C9" s="45">
        <v>106106</v>
      </c>
      <c r="D9" s="45">
        <v>124832</v>
      </c>
      <c r="E9" s="45">
        <v>133735</v>
      </c>
    </row>
    <row r="30" spans="8:11" x14ac:dyDescent="0.25">
      <c r="I30" t="s">
        <v>19</v>
      </c>
      <c r="J30" t="s">
        <v>20</v>
      </c>
      <c r="K30" t="s">
        <v>21</v>
      </c>
    </row>
    <row r="31" spans="8:11" x14ac:dyDescent="0.25">
      <c r="H31" t="s">
        <v>78</v>
      </c>
      <c r="I31">
        <v>19.899999999999999</v>
      </c>
      <c r="J31">
        <v>18.8</v>
      </c>
      <c r="K31">
        <v>19.100000000000001</v>
      </c>
    </row>
    <row r="32" spans="8:11" x14ac:dyDescent="0.25">
      <c r="H32" t="s">
        <v>79</v>
      </c>
      <c r="I32">
        <v>17.899999999999999</v>
      </c>
      <c r="J32">
        <v>18.5</v>
      </c>
      <c r="K32">
        <v>18.399999999999999</v>
      </c>
    </row>
  </sheetData>
  <mergeCells count="1">
    <mergeCell ref="B2:E2"/>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2AF0B-D37A-4EFF-A733-36C288C7D107}">
  <dimension ref="A2:K10"/>
  <sheetViews>
    <sheetView showGridLines="0" tabSelected="1" workbookViewId="0">
      <selection activeCell="A2" sqref="A2:XFD2"/>
    </sheetView>
  </sheetViews>
  <sheetFormatPr defaultRowHeight="15" x14ac:dyDescent="0.25"/>
  <cols>
    <col min="2" max="2" width="14.7109375" customWidth="1"/>
    <col min="3" max="3" width="41.140625" customWidth="1"/>
    <col min="4" max="4" width="14.85546875" customWidth="1"/>
    <col min="5" max="6" width="16.85546875" bestFit="1" customWidth="1"/>
    <col min="12" max="12" width="9.140625" customWidth="1"/>
  </cols>
  <sheetData>
    <row r="2" spans="1:11" ht="28.5" customHeight="1" x14ac:dyDescent="0.5">
      <c r="A2" s="79" t="s">
        <v>84</v>
      </c>
      <c r="B2" s="79"/>
      <c r="C2" s="79"/>
      <c r="D2" s="79"/>
      <c r="E2" s="79"/>
      <c r="F2" s="79"/>
      <c r="G2" s="79"/>
      <c r="H2" s="79"/>
      <c r="I2" s="79"/>
      <c r="J2" s="79"/>
      <c r="K2" s="79"/>
    </row>
    <row r="3" spans="1:11" ht="4.5" customHeight="1" x14ac:dyDescent="0.25">
      <c r="A3" s="80"/>
      <c r="B3" s="80"/>
      <c r="C3" s="80"/>
      <c r="D3" s="80"/>
      <c r="E3" s="80"/>
      <c r="F3" s="80"/>
      <c r="G3" s="80"/>
      <c r="H3" s="80"/>
      <c r="I3" s="80"/>
      <c r="J3" s="80"/>
      <c r="K3" s="80"/>
    </row>
    <row r="4" spans="1:11" x14ac:dyDescent="0.25">
      <c r="C4" s="63" t="s">
        <v>96</v>
      </c>
      <c r="E4" s="63"/>
    </row>
    <row r="6" spans="1:11" ht="32.25" customHeight="1" x14ac:dyDescent="0.25">
      <c r="C6" s="78" t="s">
        <v>18</v>
      </c>
      <c r="D6" s="64" t="s">
        <v>19</v>
      </c>
      <c r="E6" s="64" t="s">
        <v>20</v>
      </c>
      <c r="F6" s="65" t="s">
        <v>21</v>
      </c>
    </row>
    <row r="7" spans="1:11" x14ac:dyDescent="0.25">
      <c r="C7" s="66" t="s">
        <v>80</v>
      </c>
      <c r="D7" s="67">
        <v>53057</v>
      </c>
      <c r="E7" s="67">
        <v>59259</v>
      </c>
      <c r="F7" s="68">
        <v>64296</v>
      </c>
    </row>
    <row r="8" spans="1:11" x14ac:dyDescent="0.25">
      <c r="C8" s="66" t="s">
        <v>81</v>
      </c>
      <c r="D8" s="69">
        <v>-3176</v>
      </c>
      <c r="E8" s="69">
        <v>-2995</v>
      </c>
      <c r="F8" s="70">
        <v>-3100</v>
      </c>
    </row>
    <row r="9" spans="1:11" x14ac:dyDescent="0.25">
      <c r="C9" s="66" t="s">
        <v>82</v>
      </c>
      <c r="D9" s="67">
        <v>36985</v>
      </c>
      <c r="E9" s="67">
        <v>38902</v>
      </c>
      <c r="F9" s="68">
        <v>41688</v>
      </c>
    </row>
    <row r="10" spans="1:11" x14ac:dyDescent="0.25">
      <c r="C10" s="71" t="s">
        <v>83</v>
      </c>
      <c r="D10" s="72">
        <f>D9/'P&amp;L Analysis'!C8*100</f>
        <v>19.28773324154907</v>
      </c>
      <c r="E10" s="73">
        <f>E9/'P&amp;L Analysis'!D8*100</f>
        <v>17.254654968996444</v>
      </c>
      <c r="F10" s="74">
        <f>F9/'P&amp;L Analysis'!E8*100</f>
        <v>17.305608714242425</v>
      </c>
    </row>
  </sheetData>
  <mergeCells count="2">
    <mergeCell ref="A2:K2"/>
    <mergeCell ref="A3:K3"/>
  </mergeCells>
  <phoneticPr fontId="19" type="noConversion"/>
  <pageMargins left="0.7" right="0.7" top="0.75" bottom="0.75" header="0.3" footer="0.3"/>
  <pageSetup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P&amp;L Analysis</vt:lpstr>
      <vt:lpstr>Key Ratios</vt:lpstr>
      <vt:lpstr>Observations</vt:lpstr>
      <vt:lpstr>Charts &amp; Trends</vt:lpstr>
      <vt:lpstr>Cashflow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nealaaustin30@gmail.com</cp:lastModifiedBy>
  <cp:lastPrinted>2026-04-11T15:44:33Z</cp:lastPrinted>
  <dcterms:created xsi:type="dcterms:W3CDTF">2026-03-29T05:51:50Z</dcterms:created>
  <dcterms:modified xsi:type="dcterms:W3CDTF">2026-04-11T15:49:58Z</dcterms:modified>
</cp:coreProperties>
</file>